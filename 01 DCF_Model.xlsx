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1"/>
  <workbookPr/>
  <mc:AlternateContent xmlns:mc="http://schemas.openxmlformats.org/markup-compatibility/2006">
    <mc:Choice Requires="x15">
      <x15ac:absPath xmlns:x15ac="http://schemas.microsoft.com/office/spreadsheetml/2010/11/ac" url="https://whu365.sharepoint.com/sites/O365-Grp_Investmentbanking/Freigegebene Dokumente/Assignment/"/>
    </mc:Choice>
  </mc:AlternateContent>
  <xr:revisionPtr revIDLastSave="372" documentId="13_ncr:1_{44012A28-D198-5C4F-A6A5-2970F00E968F}" xr6:coauthVersionLast="47" xr6:coauthVersionMax="47" xr10:uidLastSave="{6470FA5B-71CC-4400-983E-6CB0C83E5567}"/>
  <bookViews>
    <workbookView xWindow="-110" yWindow="-110" windowWidth="19420" windowHeight="11500" firstSheet="1" activeTab="1" xr2:uid="{00000000-000D-0000-FFFF-FFFF00000000}"/>
  </bookViews>
  <sheets>
    <sheet name="Project Omega" sheetId="10" r:id="rId1"/>
    <sheet name="Profit_Loss" sheetId="11" r:id="rId2"/>
    <sheet name="Balance_Sheet" sheetId="12" r:id="rId3"/>
    <sheet name="NWC" sheetId="13" r:id="rId4"/>
    <sheet name="Cash_Flow" sheetId="14" r:id="rId5"/>
    <sheet name="WACC" sheetId="16" r:id="rId6"/>
    <sheet name="Calcs" sheetId="3" r:id="rId7"/>
  </sheets>
  <definedNames>
    <definedName name="_xlnm.Print_Area" localSheetId="2">Balance_Sheet!$A$1:$M$31</definedName>
    <definedName name="_xlnm.Print_Area" localSheetId="6">Calcs!$A$1:$I$46</definedName>
    <definedName name="_xlnm.Print_Area" localSheetId="4">Cash_Flow!$A$1:$M$13</definedName>
    <definedName name="_xlnm.Print_Area" localSheetId="3">NWC!$A$1:$M$12</definedName>
    <definedName name="_xlnm.Print_Area" localSheetId="1">Profit_Loss!$A$1:$O$14</definedName>
    <definedName name="_xlnm.Print_Area" localSheetId="0">'Project Omega'!$A$1:$P$30</definedName>
    <definedName name="_xlnm.Print_Area" localSheetId="5">WACC!$A$1:$L$20</definedName>
  </definedNames>
  <calcPr calcId="191028"/>
  <fileRecoveryPr autoRecover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3" l="1"/>
  <c r="M10" i="13"/>
  <c r="D46" i="14" l="1"/>
  <c r="D47" i="14" s="1"/>
  <c r="D48" i="14" s="1"/>
  <c r="D44" i="14"/>
  <c r="D43" i="14" s="1"/>
  <c r="D42" i="14" s="1"/>
  <c r="I41" i="14"/>
  <c r="J41" i="14" s="1"/>
  <c r="K41" i="14" s="1"/>
  <c r="G41" i="14"/>
  <c r="F41" i="14" s="1"/>
  <c r="E41" i="14" s="1"/>
  <c r="D36" i="14"/>
  <c r="D37" i="14" s="1"/>
  <c r="D38" i="14" s="1"/>
  <c r="D34" i="14"/>
  <c r="D33" i="14" s="1"/>
  <c r="D32" i="14" s="1"/>
  <c r="I31" i="14"/>
  <c r="J31" i="14" s="1"/>
  <c r="K31" i="14" s="1"/>
  <c r="G31" i="14"/>
  <c r="F31" i="14" s="1"/>
  <c r="E31" i="14" s="1"/>
  <c r="F53" i="3"/>
  <c r="E53" i="3" s="1"/>
  <c r="D53" i="3" s="1"/>
  <c r="H53" i="3"/>
  <c r="I53" i="3" s="1"/>
  <c r="J53" i="3" s="1"/>
  <c r="C56" i="3"/>
  <c r="C55" i="3" s="1"/>
  <c r="C54" i="3" s="1"/>
  <c r="C58" i="3"/>
  <c r="C59" i="3" s="1"/>
  <c r="C60" i="3" s="1"/>
  <c r="E34" i="16" l="1"/>
  <c r="F34" i="16" s="1"/>
  <c r="E33" i="16"/>
  <c r="E32" i="16"/>
  <c r="E31" i="16"/>
  <c r="E30" i="16"/>
  <c r="F32" i="16" l="1"/>
  <c r="F33" i="16"/>
  <c r="F30" i="16"/>
  <c r="F31" i="16"/>
  <c r="E24" i="16"/>
  <c r="E25" i="16"/>
  <c r="E23" i="16"/>
  <c r="E9" i="16" s="1"/>
  <c r="K9" i="14"/>
  <c r="L9" i="14"/>
  <c r="M9" i="14"/>
  <c r="H10" i="14"/>
  <c r="I9" i="14"/>
  <c r="J9" i="14"/>
  <c r="H9" i="14"/>
  <c r="E13" i="16" l="1"/>
  <c r="G35" i="16"/>
  <c r="E10" i="16" s="1"/>
  <c r="D17" i="3"/>
  <c r="E17" i="3"/>
  <c r="F17" i="3"/>
  <c r="G17" i="3"/>
  <c r="H17" i="3"/>
  <c r="C17" i="3"/>
  <c r="D18" i="3" s="1"/>
  <c r="I10" i="14" s="1"/>
  <c r="D12" i="3"/>
  <c r="I8" i="14" s="1"/>
  <c r="E12" i="3"/>
  <c r="J8" i="14" s="1"/>
  <c r="F12" i="3"/>
  <c r="K8" i="14" s="1"/>
  <c r="G12" i="3"/>
  <c r="L8" i="14" s="1"/>
  <c r="H12" i="3"/>
  <c r="M8" i="14" s="1"/>
  <c r="C12" i="3"/>
  <c r="H8" i="14" s="1"/>
  <c r="D8" i="3"/>
  <c r="E8" i="3"/>
  <c r="F8" i="3"/>
  <c r="G8" i="3"/>
  <c r="H8" i="3"/>
  <c r="D9" i="3"/>
  <c r="E9" i="3"/>
  <c r="F9" i="3"/>
  <c r="G9" i="3"/>
  <c r="H9" i="3"/>
  <c r="C9" i="3"/>
  <c r="C8" i="3"/>
  <c r="D6" i="3"/>
  <c r="E6" i="3"/>
  <c r="F6" i="3"/>
  <c r="G6" i="3"/>
  <c r="H6" i="3"/>
  <c r="C6" i="3"/>
  <c r="I11" i="13"/>
  <c r="J11" i="13"/>
  <c r="K11" i="13"/>
  <c r="L11" i="13"/>
  <c r="M11" i="13"/>
  <c r="H11" i="13"/>
  <c r="I5" i="13"/>
  <c r="J5" i="13"/>
  <c r="K5" i="13"/>
  <c r="L5" i="13"/>
  <c r="L8" i="13" s="1"/>
  <c r="L10" i="13" s="1"/>
  <c r="M5" i="13"/>
  <c r="M8" i="13" s="1"/>
  <c r="H5" i="13"/>
  <c r="J10" i="13"/>
  <c r="K10" i="13"/>
  <c r="I9" i="13"/>
  <c r="J9" i="13"/>
  <c r="K9" i="13"/>
  <c r="L9" i="13"/>
  <c r="M9" i="13"/>
  <c r="H9" i="13"/>
  <c r="I8" i="13"/>
  <c r="I10" i="13" s="1"/>
  <c r="J8" i="13"/>
  <c r="K8" i="13"/>
  <c r="H8" i="13"/>
  <c r="H10" i="13" s="1"/>
  <c r="I7" i="13"/>
  <c r="J7" i="13"/>
  <c r="K7" i="13"/>
  <c r="L7" i="13"/>
  <c r="M7" i="13"/>
  <c r="H7" i="13"/>
  <c r="I6" i="13"/>
  <c r="J6" i="13"/>
  <c r="K6" i="13"/>
  <c r="L6" i="13"/>
  <c r="M6" i="13"/>
  <c r="H6" i="13"/>
  <c r="H19" i="3" l="1"/>
  <c r="H18" i="3"/>
  <c r="M24" i="11"/>
  <c r="M13" i="11"/>
  <c r="I13" i="11"/>
  <c r="J13" i="11"/>
  <c r="K13" i="11"/>
  <c r="L13" i="11"/>
  <c r="H13" i="11"/>
  <c r="H10" i="11"/>
  <c r="J10" i="11"/>
  <c r="K10" i="11"/>
  <c r="L10" i="11"/>
  <c r="M10" i="11"/>
  <c r="M6" i="11"/>
  <c r="D7" i="3"/>
  <c r="I23" i="12"/>
  <c r="J23" i="12"/>
  <c r="K23" i="12"/>
  <c r="L23" i="12"/>
  <c r="M23" i="12"/>
  <c r="H23" i="12"/>
  <c r="I17" i="12"/>
  <c r="J17" i="12"/>
  <c r="K17" i="12"/>
  <c r="L17" i="12"/>
  <c r="M17" i="12"/>
  <c r="H17" i="12"/>
  <c r="I9" i="12"/>
  <c r="J9" i="12"/>
  <c r="K9" i="12"/>
  <c r="L9" i="12"/>
  <c r="M9" i="12"/>
  <c r="H9" i="12"/>
  <c r="I5" i="12"/>
  <c r="J5" i="12"/>
  <c r="K5" i="12"/>
  <c r="L5" i="12"/>
  <c r="M5" i="12"/>
  <c r="H5" i="12"/>
  <c r="H15" i="12"/>
  <c r="K29" i="12"/>
  <c r="I6" i="11"/>
  <c r="O5" i="11"/>
  <c r="N5" i="11"/>
  <c r="H24" i="11"/>
  <c r="I19" i="11"/>
  <c r="M29" i="12"/>
  <c r="L29" i="12"/>
  <c r="M15" i="12"/>
  <c r="L15" i="12"/>
  <c r="K15" i="12"/>
  <c r="M34" i="12"/>
  <c r="L34" i="12"/>
  <c r="K34" i="12"/>
  <c r="J29" i="12"/>
  <c r="I29" i="12"/>
  <c r="H29" i="12"/>
  <c r="J15" i="12" l="1"/>
  <c r="I15" i="12"/>
  <c r="M12" i="11"/>
  <c r="L12" i="11"/>
  <c r="L24" i="11"/>
  <c r="I10" i="11"/>
  <c r="M9" i="11"/>
  <c r="L9" i="11"/>
  <c r="K9" i="11"/>
  <c r="K12" i="11" s="1"/>
  <c r="M19" i="11"/>
  <c r="L19" i="11"/>
  <c r="K19" i="11"/>
  <c r="L6" i="11"/>
  <c r="K6" i="11"/>
  <c r="J6" i="11"/>
  <c r="J9" i="11"/>
  <c r="J24" i="11" s="1"/>
  <c r="I9" i="11"/>
  <c r="I12" i="11" s="1"/>
  <c r="H9" i="11"/>
  <c r="H12" i="11" s="1"/>
  <c r="H19" i="11"/>
  <c r="J19" i="11"/>
  <c r="H5" i="3"/>
  <c r="G5" i="3"/>
  <c r="F5" i="3"/>
  <c r="E5" i="3"/>
  <c r="D5" i="3"/>
  <c r="C5" i="3"/>
  <c r="M4" i="14"/>
  <c r="N4" i="14" s="1"/>
  <c r="L4" i="14"/>
  <c r="K4" i="14"/>
  <c r="J4" i="14"/>
  <c r="I4" i="14"/>
  <c r="H4" i="14"/>
  <c r="M4" i="13"/>
  <c r="L4" i="13"/>
  <c r="K4" i="13"/>
  <c r="J4" i="13"/>
  <c r="I4" i="13"/>
  <c r="H4" i="13"/>
  <c r="M4" i="12"/>
  <c r="L4" i="12"/>
  <c r="K4" i="12"/>
  <c r="J4" i="12"/>
  <c r="I4" i="12"/>
  <c r="H4" i="12"/>
  <c r="J12" i="11" l="1"/>
  <c r="N12" i="11" s="1"/>
  <c r="I24" i="11"/>
  <c r="K24" i="11"/>
  <c r="N9" i="11"/>
  <c r="B44" i="3"/>
  <c r="G43" i="3"/>
  <c r="E43" i="3"/>
  <c r="B43" i="3"/>
  <c r="B41" i="3"/>
  <c r="B40" i="3"/>
  <c r="B38" i="3"/>
  <c r="B37" i="3"/>
  <c r="B35" i="3"/>
  <c r="H34" i="3"/>
  <c r="F34" i="3"/>
  <c r="D34" i="3"/>
  <c r="B34" i="3"/>
  <c r="B32" i="3"/>
  <c r="B31" i="3"/>
  <c r="B29" i="3"/>
  <c r="B28" i="3"/>
  <c r="H22" i="3"/>
  <c r="I22" i="3" s="1"/>
  <c r="D22" i="3"/>
  <c r="D44" i="3" s="1"/>
  <c r="H43" i="3"/>
  <c r="G22" i="3"/>
  <c r="G44" i="3" s="1"/>
  <c r="F43" i="3"/>
  <c r="E22" i="3"/>
  <c r="E44" i="3" s="1"/>
  <c r="D43" i="3"/>
  <c r="F18" i="3"/>
  <c r="K10" i="14" s="1"/>
  <c r="G40" i="3"/>
  <c r="F19" i="3"/>
  <c r="F41" i="3" s="1"/>
  <c r="E40" i="3"/>
  <c r="E18" i="3"/>
  <c r="J10" i="14" s="1"/>
  <c r="C40" i="3"/>
  <c r="H13" i="3"/>
  <c r="F13" i="3"/>
  <c r="F35" i="3" s="1"/>
  <c r="D13" i="3"/>
  <c r="D35" i="3" s="1"/>
  <c r="G34" i="3"/>
  <c r="E34" i="3"/>
  <c r="C34" i="3"/>
  <c r="G7" i="3"/>
  <c r="G29" i="3" s="1"/>
  <c r="I6" i="3"/>
  <c r="I21" i="3" s="1"/>
  <c r="H10" i="3"/>
  <c r="G10" i="3"/>
  <c r="F28" i="3"/>
  <c r="E28" i="3"/>
  <c r="D10" i="3"/>
  <c r="C10" i="3"/>
  <c r="H26" i="3" s="1"/>
  <c r="G26" i="3" s="1"/>
  <c r="F26" i="3" s="1"/>
  <c r="E26" i="3" s="1"/>
  <c r="D26" i="3" s="1"/>
  <c r="C26" i="3" s="1"/>
  <c r="I17" i="3" l="1"/>
  <c r="I18" i="3" s="1"/>
  <c r="N10" i="14" s="1"/>
  <c r="H35" i="3"/>
  <c r="I13" i="3"/>
  <c r="H44" i="3"/>
  <c r="N9" i="14"/>
  <c r="I12" i="3"/>
  <c r="N8" i="14" s="1"/>
  <c r="C31" i="3"/>
  <c r="C14" i="3"/>
  <c r="C11" i="3"/>
  <c r="C32" i="3" s="1"/>
  <c r="G31" i="3"/>
  <c r="G14" i="3"/>
  <c r="L5" i="14" s="1"/>
  <c r="G11" i="3"/>
  <c r="G32" i="3" s="1"/>
  <c r="D31" i="3"/>
  <c r="D14" i="3"/>
  <c r="D11" i="3"/>
  <c r="D32" i="3" s="1"/>
  <c r="H31" i="3"/>
  <c r="H14" i="3"/>
  <c r="M5" i="14" s="1"/>
  <c r="H11" i="3"/>
  <c r="H32" i="3" s="1"/>
  <c r="E10" i="3"/>
  <c r="C19" i="3"/>
  <c r="C41" i="3" s="1"/>
  <c r="G19" i="3"/>
  <c r="G41" i="3" s="1"/>
  <c r="C28" i="3"/>
  <c r="G28" i="3"/>
  <c r="D40" i="3"/>
  <c r="H40" i="3"/>
  <c r="I5" i="3"/>
  <c r="D29" i="3"/>
  <c r="H7" i="3"/>
  <c r="H29" i="3" s="1"/>
  <c r="F10" i="3"/>
  <c r="E13" i="3"/>
  <c r="E35" i="3" s="1"/>
  <c r="G18" i="3"/>
  <c r="L10" i="14" s="1"/>
  <c r="D19" i="3"/>
  <c r="D41" i="3" s="1"/>
  <c r="D28" i="3"/>
  <c r="H28" i="3"/>
  <c r="E7" i="3"/>
  <c r="E29" i="3" s="1"/>
  <c r="M10" i="14"/>
  <c r="E19" i="3"/>
  <c r="E41" i="3" s="1"/>
  <c r="F22" i="3"/>
  <c r="F44" i="3" s="1"/>
  <c r="F40" i="3"/>
  <c r="F7" i="3"/>
  <c r="F29" i="3" s="1"/>
  <c r="C13" i="3"/>
  <c r="C35" i="3" s="1"/>
  <c r="G13" i="3"/>
  <c r="G35" i="3" s="1"/>
  <c r="H5" i="14" l="1"/>
  <c r="H6" i="14" s="1"/>
  <c r="H7" i="14" s="1"/>
  <c r="H11" i="14" s="1"/>
  <c r="I5" i="14"/>
  <c r="I6" i="14" s="1"/>
  <c r="I7" i="14" s="1"/>
  <c r="I11" i="14" s="1"/>
  <c r="H41" i="3"/>
  <c r="L6" i="14"/>
  <c r="L7" i="14" s="1"/>
  <c r="L11" i="14" s="1"/>
  <c r="M6" i="14"/>
  <c r="M7" i="14" s="1"/>
  <c r="M11" i="14" s="1"/>
  <c r="F31" i="3"/>
  <c r="F14" i="3"/>
  <c r="K5" i="14" s="1"/>
  <c r="F11" i="3"/>
  <c r="D37" i="3"/>
  <c r="D15" i="3"/>
  <c r="D38" i="3" s="1"/>
  <c r="H37" i="3"/>
  <c r="H15" i="3"/>
  <c r="H38" i="3" s="1"/>
  <c r="E31" i="3"/>
  <c r="E14" i="3"/>
  <c r="E11" i="3"/>
  <c r="E32" i="3" s="1"/>
  <c r="C37" i="3"/>
  <c r="C15" i="3"/>
  <c r="C38" i="3" s="1"/>
  <c r="G37" i="3"/>
  <c r="G15" i="3"/>
  <c r="G38" i="3" s="1"/>
  <c r="J5" i="14" l="1"/>
  <c r="J6" i="14" s="1"/>
  <c r="J7" i="14" s="1"/>
  <c r="J11" i="14" s="1"/>
  <c r="F32" i="3"/>
  <c r="I11" i="3"/>
  <c r="D24" i="14" s="1"/>
  <c r="K6" i="14"/>
  <c r="K7" i="14" s="1"/>
  <c r="K11" i="14" s="1"/>
  <c r="F15" i="3"/>
  <c r="F38" i="3" s="1"/>
  <c r="F37" i="3"/>
  <c r="E37" i="3"/>
  <c r="E15" i="3"/>
  <c r="E38" i="3" s="1"/>
  <c r="I10" i="3" l="1"/>
  <c r="I14" i="3" s="1"/>
  <c r="E7" i="16"/>
  <c r="E12" i="16" s="1"/>
  <c r="E8" i="16" s="1"/>
  <c r="E16" i="16" s="1"/>
  <c r="C46" i="3" l="1"/>
  <c r="D22" i="14"/>
  <c r="N5" i="14"/>
  <c r="N6" i="14" s="1"/>
  <c r="N7" i="14" s="1"/>
  <c r="N11" i="14" s="1"/>
  <c r="I15" i="3"/>
  <c r="L14" i="14" l="1"/>
  <c r="L15" i="14" s="1"/>
  <c r="K14" i="14"/>
  <c r="K15" i="14" s="1"/>
  <c r="N14" i="14"/>
  <c r="M14" i="14"/>
  <c r="M15" i="14" s="1"/>
  <c r="O11" i="14"/>
  <c r="N16" i="14" s="1"/>
  <c r="N17" i="14" l="1"/>
  <c r="N15" i="14"/>
  <c r="N18" i="14" l="1"/>
  <c r="N19" i="14" s="1"/>
  <c r="O19" i="14" s="1"/>
  <c r="D41" i="14" l="1"/>
  <c r="D31" i="14"/>
  <c r="P18" i="14"/>
  <c r="P19" i="14"/>
  <c r="O18" i="14"/>
  <c r="C5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E14" authorId="0" shapeId="0" xr:uid="{50FBD0E9-15A1-8B4C-A759-6D0975F1DDB4}">
      <text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iTraxx Europe to iTraxx Crossover spread
</t>
        </r>
      </text>
    </comment>
  </commentList>
</comments>
</file>

<file path=xl/sharedStrings.xml><?xml version="1.0" encoding="utf-8"?>
<sst xmlns="http://schemas.openxmlformats.org/spreadsheetml/2006/main" count="176" uniqueCount="114">
  <si>
    <t>Project Omega</t>
  </si>
  <si>
    <t>Financial review</t>
  </si>
  <si>
    <t>WHU Case Study</t>
  </si>
  <si>
    <t>Profit and loss accounts</t>
  </si>
  <si>
    <t>Actuals</t>
  </si>
  <si>
    <t>Business plan</t>
  </si>
  <si>
    <t>EURm</t>
  </si>
  <si>
    <t>CAGR 
23-26</t>
  </si>
  <si>
    <t>CAGR 
21-23</t>
  </si>
  <si>
    <t>Total output</t>
  </si>
  <si>
    <t>growth %</t>
  </si>
  <si>
    <t>Material expenses</t>
  </si>
  <si>
    <t>SG&amp;A</t>
  </si>
  <si>
    <t>EBITDA</t>
  </si>
  <si>
    <t>% of total output</t>
  </si>
  <si>
    <t>D&amp;A</t>
  </si>
  <si>
    <t>EBIT</t>
  </si>
  <si>
    <t>Personnel expences</t>
  </si>
  <si>
    <t>Other operating</t>
  </si>
  <si>
    <t>Other operating income</t>
  </si>
  <si>
    <t>Balance sheet</t>
  </si>
  <si>
    <t>Non-current assets</t>
  </si>
  <si>
    <t>Intangible assets</t>
  </si>
  <si>
    <t>Tangible assets</t>
  </si>
  <si>
    <t>Other non current assets</t>
  </si>
  <si>
    <t>Current assets</t>
  </si>
  <si>
    <t>Inventories</t>
  </si>
  <si>
    <t>Trade receivables</t>
  </si>
  <si>
    <t>Trade receivables POC</t>
  </si>
  <si>
    <t>Other receivables and assets</t>
  </si>
  <si>
    <t>Cash and cash equivalents</t>
  </si>
  <si>
    <t>Total assets</t>
  </si>
  <si>
    <t>Equity</t>
  </si>
  <si>
    <t>Non-current liabilities</t>
  </si>
  <si>
    <t>Pension provisions</t>
  </si>
  <si>
    <t>Other provisions</t>
  </si>
  <si>
    <t>Other liabilities</t>
  </si>
  <si>
    <t>Financial liabilities</t>
  </si>
  <si>
    <t>Deferred tax liabilities</t>
  </si>
  <si>
    <t>Current liabilities</t>
  </si>
  <si>
    <t>Trade payables</t>
  </si>
  <si>
    <t>Advance payments received</t>
  </si>
  <si>
    <t>Current financial liabilities</t>
  </si>
  <si>
    <t>Total equity and liabilities</t>
  </si>
  <si>
    <t>Other financial assets</t>
  </si>
  <si>
    <t>Receivables and other assets</t>
  </si>
  <si>
    <t>Deferred taxes</t>
  </si>
  <si>
    <t>Net working capital</t>
  </si>
  <si>
    <t>Trade working capital</t>
  </si>
  <si>
    <t>% of sales</t>
  </si>
  <si>
    <t>Cash flow statement</t>
  </si>
  <si>
    <t>Normalisation</t>
  </si>
  <si>
    <t>Taxes</t>
  </si>
  <si>
    <t>NOPAT</t>
  </si>
  <si>
    <t>Capex</t>
  </si>
  <si>
    <t>Change in NWC</t>
  </si>
  <si>
    <t>Free cash flow</t>
  </si>
  <si>
    <t>Perpetuity</t>
  </si>
  <si>
    <t>Discount factor</t>
  </si>
  <si>
    <t>Discounted FCF</t>
  </si>
  <si>
    <t>Terminal value</t>
  </si>
  <si>
    <t>Discounted TV</t>
  </si>
  <si>
    <t>Enterprise Value, EURm</t>
  </si>
  <si>
    <t>Median</t>
  </si>
  <si>
    <t>Equity Value, EURm (EBIT)</t>
  </si>
  <si>
    <t>Bridge (calculated before)</t>
  </si>
  <si>
    <t>WACC</t>
  </si>
  <si>
    <t>Long-term Growth Rate</t>
  </si>
  <si>
    <t>EBITDA/Sales</t>
  </si>
  <si>
    <t>Sensitivity analysis</t>
  </si>
  <si>
    <t> </t>
  </si>
  <si>
    <t>LT growth rate</t>
  </si>
  <si>
    <t xml:space="preserve">TV EBITDA / Sales </t>
  </si>
  <si>
    <t>Cost of capital</t>
  </si>
  <si>
    <t>Long term growth</t>
  </si>
  <si>
    <t>WACC calculation</t>
  </si>
  <si>
    <t>1. Target financial structure</t>
  </si>
  <si>
    <t>Equity / (Equity + Debt)</t>
  </si>
  <si>
    <t>Debt / (Equity + Debt)</t>
  </si>
  <si>
    <t>2. Cost of equity</t>
  </si>
  <si>
    <t>Risk free rate</t>
  </si>
  <si>
    <t>Market premium</t>
  </si>
  <si>
    <t>Unlevered beta</t>
  </si>
  <si>
    <t>Re-levered beta</t>
  </si>
  <si>
    <t>3. Cost of debt</t>
  </si>
  <si>
    <t>Debt premium</t>
  </si>
  <si>
    <t>Tax rate</t>
  </si>
  <si>
    <t>Theoretical WACC</t>
  </si>
  <si>
    <t>Risk free rate (Swap rate):</t>
  </si>
  <si>
    <t>Average (19 years)</t>
  </si>
  <si>
    <t>Median (19 years)</t>
  </si>
  <si>
    <t>Market premium weighted by Operations region</t>
  </si>
  <si>
    <t>Operations - Region</t>
  </si>
  <si>
    <t>Footprint</t>
  </si>
  <si>
    <t>Rel %</t>
  </si>
  <si>
    <t>ERP (Damodaran)</t>
  </si>
  <si>
    <t>Germany</t>
  </si>
  <si>
    <t>France</t>
  </si>
  <si>
    <t xml:space="preserve">Spain </t>
  </si>
  <si>
    <t>India</t>
  </si>
  <si>
    <t>Total</t>
  </si>
  <si>
    <t>Weighted Market Premium</t>
  </si>
  <si>
    <t>Statement of income, normalised</t>
  </si>
  <si>
    <t>Sales</t>
  </si>
  <si>
    <t>% growth</t>
  </si>
  <si>
    <t>Assumed as a historical GDP growth</t>
  </si>
  <si>
    <t>COGS</t>
  </si>
  <si>
    <t>Average from Business plan</t>
  </si>
  <si>
    <t>D &amp; A</t>
  </si>
  <si>
    <t>Net working capital (NWC)</t>
  </si>
  <si>
    <t>Assumed Last Year in the Business Plan</t>
  </si>
  <si>
    <t>From the PDF balance sheet</t>
  </si>
  <si>
    <t>Output for PowerPoint</t>
  </si>
  <si>
    <t>2027E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</si>
</sst>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164" formatCode="#,##0.0_);\(#,##0.0\);&quot;--&quot;"/>
    <numFmt numFmtId="165" formatCode="0.0%;\(0.0%\)"/>
    <numFmt numFmtId="166" formatCode="0.0%_);\(0.0%\);\-\-_);* @_)"/>
    <numFmt numFmtId="167" formatCode="0&quot;E&quot;"/>
    <numFmt numFmtId="168" formatCode="0.00%;\(0.00%\)"/>
    <numFmt numFmtId="169" formatCode="0.0%_);\(0.0%\);0.0%_);@_)"/>
    <numFmt numFmtId="170" formatCode="yyyy&quot;A&quot;"/>
    <numFmt numFmtId="171" formatCode="yyyy&quot;E&quot;"/>
    <numFmt numFmtId="172" formatCode="#,##0.0_);\(#,##0.0\);\-\-_);* @_)"/>
    <numFmt numFmtId="173" formatCode="#,##0.0"/>
    <numFmt numFmtId="174" formatCode="0.0"/>
    <numFmt numFmtId="175" formatCode="0.0%"/>
  </numFmts>
  <fonts count="49">
    <font>
      <sz val="10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i/>
      <sz val="8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8"/>
      <color theme="0"/>
      <name val="Arial"/>
      <family val="2"/>
    </font>
    <font>
      <b/>
      <sz val="35"/>
      <color indexed="9"/>
      <name val="Arial"/>
      <family val="2"/>
    </font>
    <font>
      <sz val="30"/>
      <color indexed="9"/>
      <name val="Arial"/>
      <family val="2"/>
    </font>
    <font>
      <sz val="20"/>
      <color indexed="9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10"/>
      <color rgb="FF3F3F76"/>
      <name val="Arial"/>
      <family val="2"/>
    </font>
    <font>
      <sz val="10"/>
      <color theme="1"/>
      <name val="Arial"/>
      <family val="2"/>
    </font>
    <font>
      <b/>
      <sz val="8"/>
      <color indexed="9"/>
      <name val="Arial"/>
      <family val="2"/>
    </font>
    <font>
      <sz val="8"/>
      <color rgb="FF0070C0"/>
      <name val="Arial"/>
      <family val="2"/>
    </font>
    <font>
      <sz val="10"/>
      <color rgb="FF000000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b/>
      <i/>
      <sz val="8"/>
      <color theme="1"/>
      <name val="Arial"/>
      <family val="2"/>
    </font>
    <font>
      <sz val="10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b/>
      <sz val="12"/>
      <color theme="1"/>
      <name val="Arial"/>
      <family val="2"/>
    </font>
    <font>
      <sz val="10"/>
      <color rgb="FFFF0000"/>
      <name val="Arial"/>
      <family val="2"/>
    </font>
    <font>
      <b/>
      <sz val="12"/>
      <color rgb="FF000000"/>
      <name val="Calibri"/>
      <family val="2"/>
    </font>
    <font>
      <sz val="12"/>
      <name val="Calibri"/>
      <family val="2"/>
    </font>
    <font>
      <b/>
      <sz val="12"/>
      <color rgb="FFC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indexed="9"/>
      <name val="Arial"/>
      <family val="2"/>
    </font>
    <font>
      <b/>
      <sz val="10"/>
      <color theme="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sz val="10"/>
      <color theme="1"/>
      <name val="Arial"/>
      <family val="2"/>
      <scheme val="minor"/>
    </font>
    <font>
      <b/>
      <sz val="10"/>
      <color rgb="FF000000"/>
      <name val="Calibri"/>
      <family val="2"/>
    </font>
    <font>
      <sz val="10"/>
      <name val="Calibri"/>
      <family val="2"/>
    </font>
    <font>
      <b/>
      <sz val="10"/>
      <color theme="1"/>
      <name val="Calibri"/>
      <family val="2"/>
    </font>
    <font>
      <b/>
      <sz val="10"/>
      <color rgb="FFC00000"/>
      <name val="Calibri"/>
      <family val="2"/>
    </font>
    <font>
      <sz val="10"/>
      <color rgb="FF000000"/>
      <name val="Calibri"/>
      <family val="2"/>
    </font>
    <font>
      <b/>
      <i/>
      <sz val="8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B3B3B3"/>
        <bgColor indexed="64"/>
      </patternFill>
    </fill>
    <fill>
      <patternFill patternType="solid">
        <fgColor rgb="FFE5E5E5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CC99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-9.9948118533890809E-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3F2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42"/>
        <bgColor indexed="64"/>
      </patternFill>
    </fill>
  </fills>
  <borders count="4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rgb="FFB3B3B3"/>
      </left>
      <right/>
      <top style="thin">
        <color rgb="FFB3B3B3"/>
      </top>
      <bottom/>
      <diagonal/>
    </border>
    <border>
      <left/>
      <right/>
      <top style="thin">
        <color rgb="FFB3B3B3"/>
      </top>
      <bottom/>
      <diagonal/>
    </border>
    <border>
      <left/>
      <right style="thin">
        <color rgb="FFB3B3B3"/>
      </right>
      <top style="thin">
        <color rgb="FFB3B3B3"/>
      </top>
      <bottom/>
      <diagonal/>
    </border>
    <border>
      <left style="thin">
        <color rgb="FFB3B3B3"/>
      </left>
      <right/>
      <top/>
      <bottom/>
      <diagonal/>
    </border>
    <border>
      <left/>
      <right style="thin">
        <color rgb="FFB3B3B3"/>
      </right>
      <top/>
      <bottom/>
      <diagonal/>
    </border>
    <border>
      <left style="thin">
        <color rgb="FFB3B3B3"/>
      </left>
      <right/>
      <top/>
      <bottom style="thin">
        <color rgb="FFB3B3B3"/>
      </bottom>
      <diagonal/>
    </border>
    <border>
      <left/>
      <right/>
      <top/>
      <bottom style="thin">
        <color rgb="FFB3B3B3"/>
      </bottom>
      <diagonal/>
    </border>
    <border>
      <left/>
      <right style="thin">
        <color rgb="FFB3B3B3"/>
      </right>
      <top/>
      <bottom style="thin">
        <color rgb="FFB3B3B3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0"/>
      </left>
      <right/>
      <top/>
      <bottom style="medium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thin">
        <color indexed="9"/>
      </left>
      <right/>
      <top style="medium">
        <color theme="0"/>
      </top>
      <bottom style="medium">
        <color theme="0"/>
      </bottom>
      <diagonal/>
    </border>
    <border>
      <left/>
      <right style="thin">
        <color indexed="9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medium">
        <color theme="0"/>
      </top>
      <bottom style="thin">
        <color indexed="9"/>
      </bottom>
      <diagonal/>
    </border>
    <border>
      <left/>
      <right/>
      <top style="medium">
        <color theme="0"/>
      </top>
      <bottom style="thin">
        <color indexed="9"/>
      </bottom>
      <diagonal/>
    </border>
    <border>
      <left/>
      <right style="thin">
        <color theme="0"/>
      </right>
      <top style="medium">
        <color theme="0"/>
      </top>
      <bottom style="thin">
        <color indexed="9"/>
      </bottom>
      <diagonal/>
    </border>
    <border>
      <left/>
      <right style="thin">
        <color theme="0"/>
      </right>
      <top style="thin">
        <color indexed="9"/>
      </top>
      <bottom style="thin">
        <color indexed="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5" fillId="2" borderId="18" applyNumberFormat="0" applyFill="0" applyBorder="0" applyAlignment="0"/>
    <xf numFmtId="0" fontId="15" fillId="2" borderId="19" applyNumberFormat="0" applyFill="0" applyBorder="0" applyAlignment="0"/>
    <xf numFmtId="0" fontId="16" fillId="2" borderId="20" applyNumberFormat="0" applyFill="0" applyAlignment="0"/>
    <xf numFmtId="0" fontId="17" fillId="10" borderId="13" applyNumberFormat="0" applyAlignment="0" applyProtection="0"/>
    <xf numFmtId="9" fontId="18" fillId="0" borderId="0" applyFont="0" applyFill="0" applyBorder="0" applyAlignment="0" applyProtection="0"/>
    <xf numFmtId="0" fontId="16" fillId="9" borderId="0" applyNumberFormat="0" applyFont="0" applyFill="0" applyBorder="0" applyAlignment="0">
      <alignment wrapText="1"/>
    </xf>
    <xf numFmtId="0" fontId="25" fillId="0" borderId="0"/>
    <xf numFmtId="0" fontId="25" fillId="0" borderId="0"/>
  </cellStyleXfs>
  <cellXfs count="207">
    <xf numFmtId="0" fontId="0" fillId="0" borderId="0" xfId="0"/>
    <xf numFmtId="0" fontId="12" fillId="0" borderId="0" xfId="0" applyFont="1"/>
    <xf numFmtId="0" fontId="12" fillId="0" borderId="0" xfId="0" applyFont="1" applyAlignment="1">
      <alignment horizontal="right"/>
    </xf>
    <xf numFmtId="0" fontId="12" fillId="4" borderId="3" xfId="0" applyFont="1" applyFill="1" applyBorder="1" applyAlignment="1">
      <alignment horizontal="left" vertical="center"/>
    </xf>
    <xf numFmtId="0" fontId="12" fillId="3" borderId="3" xfId="0" applyFont="1" applyFill="1" applyBorder="1" applyAlignment="1">
      <alignment horizontal="left" vertical="center"/>
    </xf>
    <xf numFmtId="0" fontId="12" fillId="2" borderId="0" xfId="0" applyFont="1" applyFill="1"/>
    <xf numFmtId="172" fontId="12" fillId="0" borderId="0" xfId="0" applyNumberFormat="1" applyFont="1" applyAlignment="1">
      <alignment horizontal="right"/>
    </xf>
    <xf numFmtId="39" fontId="12" fillId="0" borderId="0" xfId="0" applyNumberFormat="1" applyFont="1" applyAlignment="1">
      <alignment horizontal="right" vertical="center"/>
    </xf>
    <xf numFmtId="0" fontId="2" fillId="7" borderId="21" xfId="0" applyFont="1" applyFill="1" applyBorder="1" applyAlignment="1">
      <alignment horizontal="centerContinuous"/>
    </xf>
    <xf numFmtId="170" fontId="14" fillId="7" borderId="17" xfId="0" applyNumberFormat="1" applyFont="1" applyFill="1" applyBorder="1" applyAlignment="1">
      <alignment horizontal="right"/>
    </xf>
    <xf numFmtId="171" fontId="7" fillId="8" borderId="17" xfId="0" applyNumberFormat="1" applyFont="1" applyFill="1" applyBorder="1" applyAlignment="1">
      <alignment horizontal="right"/>
    </xf>
    <xf numFmtId="171" fontId="7" fillId="11" borderId="26" xfId="0" applyNumberFormat="1" applyFont="1" applyFill="1" applyBorder="1" applyAlignment="1">
      <alignment horizontal="right"/>
    </xf>
    <xf numFmtId="164" fontId="1" fillId="0" borderId="0" xfId="0" applyNumberFormat="1" applyFont="1"/>
    <xf numFmtId="165" fontId="1" fillId="0" borderId="0" xfId="0" applyNumberFormat="1" applyFont="1"/>
    <xf numFmtId="0" fontId="19" fillId="11" borderId="24" xfId="0" applyFont="1" applyFill="1" applyBorder="1" applyAlignment="1">
      <alignment horizontal="centerContinuous"/>
    </xf>
    <xf numFmtId="0" fontId="2" fillId="7" borderId="22" xfId="0" applyFont="1" applyFill="1" applyBorder="1" applyAlignment="1">
      <alignment horizontal="centerContinuous"/>
    </xf>
    <xf numFmtId="0" fontId="3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vertical="center"/>
    </xf>
    <xf numFmtId="165" fontId="4" fillId="0" borderId="0" xfId="0" applyNumberFormat="1" applyFont="1" applyAlignment="1">
      <alignment horizontal="left"/>
    </xf>
    <xf numFmtId="165" fontId="4" fillId="0" borderId="0" xfId="0" applyNumberFormat="1" applyFont="1"/>
    <xf numFmtId="0" fontId="6" fillId="0" borderId="0" xfId="0" applyFont="1"/>
    <xf numFmtId="0" fontId="2" fillId="0" borderId="0" xfId="0" applyFont="1" applyAlignment="1">
      <alignment vertical="top" wrapText="1"/>
    </xf>
    <xf numFmtId="0" fontId="0" fillId="0" borderId="0" xfId="0" applyAlignment="1">
      <alignment horizontal="right"/>
    </xf>
    <xf numFmtId="0" fontId="2" fillId="3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right" vertical="center"/>
    </xf>
    <xf numFmtId="0" fontId="2" fillId="4" borderId="4" xfId="0" applyFont="1" applyFill="1" applyBorder="1" applyAlignment="1">
      <alignment horizontal="left" vertical="center"/>
    </xf>
    <xf numFmtId="0" fontId="0" fillId="5" borderId="0" xfId="0" applyFill="1"/>
    <xf numFmtId="0" fontId="8" fillId="5" borderId="0" xfId="0" applyFont="1" applyFill="1"/>
    <xf numFmtId="0" fontId="9" fillId="5" borderId="0" xfId="0" applyFont="1" applyFill="1"/>
    <xf numFmtId="15" fontId="10" fillId="5" borderId="0" xfId="0" quotePrefix="1" applyNumberFormat="1" applyFont="1" applyFill="1" applyAlignment="1">
      <alignment horizontal="left"/>
    </xf>
    <xf numFmtId="0" fontId="0" fillId="0" borderId="0" xfId="0" applyAlignment="1">
      <alignment horizontal="left"/>
    </xf>
    <xf numFmtId="165" fontId="2" fillId="0" borderId="0" xfId="0" applyNumberFormat="1" applyFont="1"/>
    <xf numFmtId="169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165" fontId="0" fillId="6" borderId="0" xfId="0" applyNumberFormat="1" applyFill="1"/>
    <xf numFmtId="165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2" fillId="7" borderId="14" xfId="0" applyFont="1" applyFill="1" applyBorder="1" applyAlignment="1">
      <alignment horizontal="centerContinuous" vertical="center"/>
    </xf>
    <xf numFmtId="0" fontId="12" fillId="7" borderId="15" xfId="0" applyFont="1" applyFill="1" applyBorder="1" applyAlignment="1">
      <alignment horizontal="centerContinuous" vertical="center"/>
    </xf>
    <xf numFmtId="0" fontId="13" fillId="8" borderId="14" xfId="0" applyFont="1" applyFill="1" applyBorder="1" applyAlignment="1">
      <alignment horizontal="centerContinuous" vertical="center"/>
    </xf>
    <xf numFmtId="0" fontId="13" fillId="8" borderId="16" xfId="0" applyFont="1" applyFill="1" applyBorder="1" applyAlignment="1">
      <alignment horizontal="centerContinuous" vertical="center"/>
    </xf>
    <xf numFmtId="0" fontId="13" fillId="8" borderId="15" xfId="0" applyFont="1" applyFill="1" applyBorder="1" applyAlignment="1">
      <alignment horizontal="centerContinuous" vertical="center"/>
    </xf>
    <xf numFmtId="170" fontId="14" fillId="7" borderId="17" xfId="0" applyNumberFormat="1" applyFont="1" applyFill="1" applyBorder="1" applyAlignment="1">
      <alignment horizontal="right" vertical="center"/>
    </xf>
    <xf numFmtId="171" fontId="7" fillId="8" borderId="17" xfId="0" applyNumberFormat="1" applyFont="1" applyFill="1" applyBorder="1" applyAlignment="1">
      <alignment horizontal="right" vertical="center"/>
    </xf>
    <xf numFmtId="0" fontId="2" fillId="3" borderId="3" xfId="0" applyFont="1" applyFill="1" applyBorder="1" applyAlignment="1">
      <alignment horizontal="left" vertical="center"/>
    </xf>
    <xf numFmtId="172" fontId="2" fillId="3" borderId="1" xfId="0" applyNumberFormat="1" applyFont="1" applyFill="1" applyBorder="1" applyAlignment="1">
      <alignment horizontal="right" vertical="center"/>
    </xf>
    <xf numFmtId="166" fontId="2" fillId="3" borderId="1" xfId="0" applyNumberFormat="1" applyFont="1" applyFill="1" applyBorder="1" applyAlignment="1">
      <alignment horizontal="right" vertical="center"/>
    </xf>
    <xf numFmtId="0" fontId="0" fillId="4" borderId="3" xfId="0" applyFill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2" fillId="4" borderId="4" xfId="0" applyFont="1" applyFill="1" applyBorder="1" applyAlignment="1">
      <alignment horizontal="left" vertical="center"/>
    </xf>
    <xf numFmtId="172" fontId="12" fillId="4" borderId="1" xfId="0" applyNumberFormat="1" applyFont="1" applyFill="1" applyBorder="1" applyAlignment="1">
      <alignment horizontal="right" vertical="center"/>
    </xf>
    <xf numFmtId="166" fontId="12" fillId="4" borderId="1" xfId="0" applyNumberFormat="1" applyFont="1" applyFill="1" applyBorder="1" applyAlignment="1">
      <alignment horizontal="right" vertical="center"/>
    </xf>
    <xf numFmtId="0" fontId="0" fillId="3" borderId="3" xfId="0" applyFill="1" applyBorder="1" applyAlignment="1">
      <alignment horizontal="left" vertical="center"/>
    </xf>
    <xf numFmtId="0" fontId="11" fillId="0" borderId="0" xfId="0" applyFont="1"/>
    <xf numFmtId="0" fontId="1" fillId="0" borderId="0" xfId="0" applyFont="1"/>
    <xf numFmtId="172" fontId="1" fillId="0" borderId="0" xfId="0" applyNumberFormat="1" applyFont="1"/>
    <xf numFmtId="164" fontId="20" fillId="13" borderId="27" xfId="0" applyNumberFormat="1" applyFont="1" applyFill="1" applyBorder="1"/>
    <xf numFmtId="169" fontId="20" fillId="12" borderId="0" xfId="5" applyNumberFormat="1" applyFont="1" applyFill="1"/>
    <xf numFmtId="164" fontId="20" fillId="13" borderId="28" xfId="0" applyNumberFormat="1" applyFont="1" applyFill="1" applyBorder="1"/>
    <xf numFmtId="164" fontId="20" fillId="13" borderId="29" xfId="0" applyNumberFormat="1" applyFont="1" applyFill="1" applyBorder="1"/>
    <xf numFmtId="164" fontId="20" fillId="13" borderId="30" xfId="0" applyNumberFormat="1" applyFont="1" applyFill="1" applyBorder="1"/>
    <xf numFmtId="164" fontId="20" fillId="13" borderId="31" xfId="0" applyNumberFormat="1" applyFont="1" applyFill="1" applyBorder="1"/>
    <xf numFmtId="165" fontId="12" fillId="6" borderId="0" xfId="0" applyNumberFormat="1" applyFont="1" applyFill="1"/>
    <xf numFmtId="165" fontId="12" fillId="0" borderId="0" xfId="0" applyNumberFormat="1" applyFont="1"/>
    <xf numFmtId="0" fontId="12" fillId="6" borderId="0" xfId="0" applyFont="1" applyFill="1"/>
    <xf numFmtId="0" fontId="12" fillId="0" borderId="0" xfId="0" applyFont="1" applyAlignment="1">
      <alignment horizontal="left"/>
    </xf>
    <xf numFmtId="167" fontId="2" fillId="14" borderId="2" xfId="0" applyNumberFormat="1" applyFont="1" applyFill="1" applyBorder="1" applyAlignment="1">
      <alignment horizontal="right" vertical="center" wrapText="1"/>
    </xf>
    <xf numFmtId="0" fontId="2" fillId="15" borderId="0" xfId="0" applyFont="1" applyFill="1" applyAlignment="1">
      <alignment horizontal="left"/>
    </xf>
    <xf numFmtId="0" fontId="2" fillId="15" borderId="0" xfId="0" applyFont="1" applyFill="1" applyAlignment="1">
      <alignment horizontal="left" vertical="top" wrapText="1"/>
    </xf>
    <xf numFmtId="0" fontId="2" fillId="16" borderId="0" xfId="0" applyFont="1" applyFill="1" applyAlignment="1">
      <alignment horizontal="left"/>
    </xf>
    <xf numFmtId="0" fontId="2" fillId="16" borderId="0" xfId="0" applyFont="1" applyFill="1"/>
    <xf numFmtId="0" fontId="2" fillId="11" borderId="0" xfId="0" applyFont="1" applyFill="1" applyAlignment="1">
      <alignment horizontal="left"/>
    </xf>
    <xf numFmtId="0" fontId="2" fillId="11" borderId="0" xfId="0" applyFont="1" applyFill="1"/>
    <xf numFmtId="0" fontId="22" fillId="3" borderId="36" xfId="0" applyFont="1" applyFill="1" applyBorder="1" applyAlignment="1">
      <alignment horizontal="right" vertical="center" wrapText="1" readingOrder="1"/>
    </xf>
    <xf numFmtId="0" fontId="23" fillId="4" borderId="36" xfId="0" applyFont="1" applyFill="1" applyBorder="1" applyAlignment="1">
      <alignment horizontal="right" vertical="center" wrapText="1" readingOrder="1"/>
    </xf>
    <xf numFmtId="173" fontId="23" fillId="4" borderId="36" xfId="0" applyNumberFormat="1" applyFont="1" applyFill="1" applyBorder="1" applyAlignment="1">
      <alignment horizontal="right" vertical="center" wrapText="1" readingOrder="1"/>
    </xf>
    <xf numFmtId="172" fontId="24" fillId="4" borderId="1" xfId="0" applyNumberFormat="1" applyFont="1" applyFill="1" applyBorder="1" applyAlignment="1">
      <alignment horizontal="right" vertical="center"/>
    </xf>
    <xf numFmtId="0" fontId="2" fillId="17" borderId="0" xfId="0" applyFont="1" applyFill="1" applyAlignment="1">
      <alignment horizontal="left"/>
    </xf>
    <xf numFmtId="0" fontId="4" fillId="0" borderId="0" xfId="0" applyFont="1"/>
    <xf numFmtId="0" fontId="26" fillId="0" borderId="0" xfId="0" applyFont="1"/>
    <xf numFmtId="0" fontId="26" fillId="0" borderId="37" xfId="0" applyFont="1" applyBorder="1"/>
    <xf numFmtId="0" fontId="26" fillId="0" borderId="0" xfId="0" applyFont="1" applyAlignment="1">
      <alignment horizontal="left"/>
    </xf>
    <xf numFmtId="14" fontId="26" fillId="0" borderId="0" xfId="0" applyNumberFormat="1" applyFont="1" applyAlignment="1">
      <alignment horizontal="left"/>
    </xf>
    <xf numFmtId="10" fontId="27" fillId="0" borderId="0" xfId="5" applyNumberFormat="1" applyFont="1"/>
    <xf numFmtId="10" fontId="26" fillId="0" borderId="0" xfId="5" applyNumberFormat="1" applyFont="1"/>
    <xf numFmtId="0" fontId="28" fillId="0" borderId="0" xfId="0" applyFont="1" applyAlignment="1">
      <alignment horizontal="right"/>
    </xf>
    <xf numFmtId="0" fontId="26" fillId="0" borderId="0" xfId="0" applyFont="1" applyAlignment="1">
      <alignment horizontal="right"/>
    </xf>
    <xf numFmtId="9" fontId="26" fillId="0" borderId="0" xfId="5" applyFont="1" applyAlignment="1">
      <alignment horizontal="right"/>
    </xf>
    <xf numFmtId="10" fontId="26" fillId="0" borderId="0" xfId="5" applyNumberFormat="1" applyFont="1" applyAlignment="1">
      <alignment horizontal="right"/>
    </xf>
    <xf numFmtId="10" fontId="26" fillId="0" borderId="0" xfId="0" applyNumberFormat="1" applyFont="1" applyAlignment="1">
      <alignment horizontal="right"/>
    </xf>
    <xf numFmtId="10" fontId="26" fillId="18" borderId="0" xfId="0" applyNumberFormat="1" applyFont="1" applyFill="1" applyAlignment="1">
      <alignment horizontal="right"/>
    </xf>
    <xf numFmtId="0" fontId="28" fillId="0" borderId="37" xfId="0" applyFont="1" applyBorder="1"/>
    <xf numFmtId="0" fontId="26" fillId="0" borderId="38" xfId="0" applyFont="1" applyBorder="1" applyAlignment="1">
      <alignment horizontal="left" wrapText="1"/>
    </xf>
    <xf numFmtId="0" fontId="26" fillId="0" borderId="38" xfId="0" applyFont="1" applyBorder="1" applyAlignment="1">
      <alignment horizontal="left"/>
    </xf>
    <xf numFmtId="0" fontId="26" fillId="0" borderId="38" xfId="0" applyFont="1" applyBorder="1" applyAlignment="1">
      <alignment horizontal="right" wrapText="1"/>
    </xf>
    <xf numFmtId="0" fontId="29" fillId="0" borderId="0" xfId="0" applyFont="1"/>
    <xf numFmtId="0" fontId="33" fillId="0" borderId="0" xfId="0" applyFont="1"/>
    <xf numFmtId="0" fontId="32" fillId="0" borderId="0" xfId="0" applyFont="1"/>
    <xf numFmtId="0" fontId="33" fillId="0" borderId="37" xfId="0" applyFont="1" applyBorder="1"/>
    <xf numFmtId="0" fontId="31" fillId="0" borderId="0" xfId="0" applyFont="1" applyAlignment="1">
      <alignment wrapText="1"/>
    </xf>
    <xf numFmtId="0" fontId="31" fillId="0" borderId="37" xfId="0" applyFont="1" applyBorder="1" applyAlignment="1">
      <alignment wrapText="1"/>
    </xf>
    <xf numFmtId="0" fontId="31" fillId="0" borderId="41" xfId="0" applyFont="1" applyBorder="1" applyAlignment="1">
      <alignment wrapText="1"/>
    </xf>
    <xf numFmtId="0" fontId="33" fillId="0" borderId="0" xfId="0" applyFont="1" applyAlignment="1">
      <alignment wrapText="1"/>
    </xf>
    <xf numFmtId="0" fontId="33" fillId="0" borderId="37" xfId="0" applyFont="1" applyBorder="1" applyAlignment="1">
      <alignment wrapText="1"/>
    </xf>
    <xf numFmtId="2" fontId="31" fillId="0" borderId="42" xfId="0" applyNumberFormat="1" applyFont="1" applyBorder="1" applyAlignment="1">
      <alignment wrapText="1"/>
    </xf>
    <xf numFmtId="10" fontId="34" fillId="0" borderId="37" xfId="0" applyNumberFormat="1" applyFont="1" applyBorder="1" applyAlignment="1">
      <alignment horizontal="center"/>
    </xf>
    <xf numFmtId="10" fontId="32" fillId="0" borderId="37" xfId="0" applyNumberFormat="1" applyFont="1" applyBorder="1" applyAlignment="1">
      <alignment horizontal="center"/>
    </xf>
    <xf numFmtId="175" fontId="30" fillId="0" borderId="41" xfId="0" applyNumberFormat="1" applyFont="1" applyBorder="1" applyAlignment="1">
      <alignment horizontal="center" wrapText="1"/>
    </xf>
    <xf numFmtId="175" fontId="32" fillId="0" borderId="41" xfId="0" applyNumberFormat="1" applyFont="1" applyBorder="1" applyAlignment="1">
      <alignment horizontal="center" wrapText="1"/>
    </xf>
    <xf numFmtId="10" fontId="1" fillId="0" borderId="0" xfId="5" applyNumberFormat="1" applyFont="1"/>
    <xf numFmtId="0" fontId="35" fillId="11" borderId="0" xfId="0" applyFont="1" applyFill="1" applyAlignment="1">
      <alignment horizontal="left"/>
    </xf>
    <xf numFmtId="0" fontId="35" fillId="11" borderId="0" xfId="0" applyFont="1" applyFill="1"/>
    <xf numFmtId="0" fontId="35" fillId="0" borderId="0" xfId="0" applyFont="1"/>
    <xf numFmtId="0" fontId="0" fillId="7" borderId="14" xfId="0" applyFill="1" applyBorder="1" applyAlignment="1">
      <alignment horizontal="centerContinuous" vertical="center"/>
    </xf>
    <xf numFmtId="0" fontId="0" fillId="7" borderId="15" xfId="0" applyFill="1" applyBorder="1" applyAlignment="1">
      <alignment horizontal="centerContinuous" vertical="center"/>
    </xf>
    <xf numFmtId="0" fontId="36" fillId="8" borderId="14" xfId="0" applyFont="1" applyFill="1" applyBorder="1" applyAlignment="1">
      <alignment horizontal="centerContinuous" vertical="center"/>
    </xf>
    <xf numFmtId="0" fontId="36" fillId="8" borderId="16" xfId="0" applyFont="1" applyFill="1" applyBorder="1" applyAlignment="1">
      <alignment horizontal="centerContinuous" vertical="center"/>
    </xf>
    <xf numFmtId="0" fontId="36" fillId="8" borderId="15" xfId="0" applyFont="1" applyFill="1" applyBorder="1" applyAlignment="1">
      <alignment horizontal="centerContinuous" vertical="center"/>
    </xf>
    <xf numFmtId="0" fontId="37" fillId="11" borderId="24" xfId="0" applyFont="1" applyFill="1" applyBorder="1" applyAlignment="1">
      <alignment horizontal="centerContinuous"/>
    </xf>
    <xf numFmtId="0" fontId="0" fillId="0" borderId="0" xfId="0" applyAlignment="1">
      <alignment horizontal="left" vertical="center"/>
    </xf>
    <xf numFmtId="170" fontId="11" fillId="7" borderId="17" xfId="0" applyNumberFormat="1" applyFont="1" applyFill="1" applyBorder="1" applyAlignment="1">
      <alignment horizontal="right" vertical="center"/>
    </xf>
    <xf numFmtId="171" fontId="38" fillId="8" borderId="17" xfId="0" applyNumberFormat="1" applyFont="1" applyFill="1" applyBorder="1" applyAlignment="1">
      <alignment horizontal="right" vertical="center"/>
    </xf>
    <xf numFmtId="0" fontId="11" fillId="4" borderId="4" xfId="0" applyFont="1" applyFill="1" applyBorder="1" applyAlignment="1">
      <alignment horizontal="left" vertical="center"/>
    </xf>
    <xf numFmtId="172" fontId="0" fillId="4" borderId="1" xfId="0" applyNumberFormat="1" applyFill="1" applyBorder="1" applyAlignment="1">
      <alignment horizontal="right" vertical="center"/>
    </xf>
    <xf numFmtId="0" fontId="39" fillId="4" borderId="4" xfId="0" applyFont="1" applyFill="1" applyBorder="1" applyAlignment="1">
      <alignment horizontal="left" vertical="center" indent="1"/>
    </xf>
    <xf numFmtId="0" fontId="0" fillId="4" borderId="4" xfId="0" applyFill="1" applyBorder="1" applyAlignment="1">
      <alignment horizontal="right" vertical="center"/>
    </xf>
    <xf numFmtId="0" fontId="0" fillId="4" borderId="4" xfId="0" applyFill="1" applyBorder="1" applyAlignment="1">
      <alignment horizontal="left" vertical="center"/>
    </xf>
    <xf numFmtId="0" fontId="35" fillId="3" borderId="4" xfId="0" applyFont="1" applyFill="1" applyBorder="1" applyAlignment="1">
      <alignment horizontal="left" vertical="center"/>
    </xf>
    <xf numFmtId="0" fontId="35" fillId="3" borderId="4" xfId="0" applyFont="1" applyFill="1" applyBorder="1" applyAlignment="1">
      <alignment horizontal="right" vertical="center"/>
    </xf>
    <xf numFmtId="2" fontId="35" fillId="3" borderId="4" xfId="0" applyNumberFormat="1" applyFont="1" applyFill="1" applyBorder="1" applyAlignment="1">
      <alignment horizontal="right" vertical="center"/>
    </xf>
    <xf numFmtId="0" fontId="40" fillId="4" borderId="4" xfId="0" applyFont="1" applyFill="1" applyBorder="1" applyAlignment="1">
      <alignment horizontal="left" vertical="center" indent="1"/>
    </xf>
    <xf numFmtId="172" fontId="35" fillId="3" borderId="1" xfId="0" applyNumberFormat="1" applyFont="1" applyFill="1" applyBorder="1" applyAlignment="1">
      <alignment horizontal="right" vertical="center"/>
    </xf>
    <xf numFmtId="9" fontId="0" fillId="0" borderId="0" xfId="5" applyFont="1"/>
    <xf numFmtId="0" fontId="0" fillId="0" borderId="0" xfId="5" applyNumberFormat="1" applyFont="1"/>
    <xf numFmtId="0" fontId="40" fillId="6" borderId="0" xfId="0" applyFont="1" applyFill="1"/>
    <xf numFmtId="2" fontId="25" fillId="0" borderId="0" xfId="0" applyNumberFormat="1" applyFont="1"/>
    <xf numFmtId="2" fontId="25" fillId="18" borderId="0" xfId="0" applyNumberFormat="1" applyFont="1" applyFill="1"/>
    <xf numFmtId="0" fontId="39" fillId="6" borderId="0" xfId="0" applyFont="1" applyFill="1"/>
    <xf numFmtId="174" fontId="35" fillId="0" borderId="0" xfId="0" applyNumberFormat="1" applyFont="1"/>
    <xf numFmtId="174" fontId="0" fillId="0" borderId="0" xfId="0" applyNumberFormat="1"/>
    <xf numFmtId="0" fontId="41" fillId="6" borderId="0" xfId="0" applyFont="1" applyFill="1" applyAlignment="1">
      <alignment horizontal="left"/>
    </xf>
    <xf numFmtId="0" fontId="25" fillId="6" borderId="0" xfId="0" applyFont="1" applyFill="1"/>
    <xf numFmtId="174" fontId="41" fillId="6" borderId="0" xfId="0" applyNumberFormat="1" applyFont="1" applyFill="1"/>
    <xf numFmtId="0" fontId="42" fillId="6" borderId="0" xfId="0" applyFont="1" applyFill="1" applyAlignment="1">
      <alignment vertical="center"/>
    </xf>
    <xf numFmtId="0" fontId="44" fillId="0" borderId="0" xfId="0" applyFont="1" applyAlignment="1">
      <alignment wrapText="1"/>
    </xf>
    <xf numFmtId="0" fontId="44" fillId="0" borderId="41" xfId="0" applyFont="1" applyBorder="1" applyAlignment="1">
      <alignment wrapText="1"/>
    </xf>
    <xf numFmtId="0" fontId="44" fillId="0" borderId="37" xfId="0" applyFont="1" applyBorder="1" applyAlignment="1">
      <alignment wrapText="1"/>
    </xf>
    <xf numFmtId="2" fontId="44" fillId="0" borderId="42" xfId="0" applyNumberFormat="1" applyFont="1" applyBorder="1" applyAlignment="1">
      <alignment wrapText="1"/>
    </xf>
    <xf numFmtId="175" fontId="43" fillId="0" borderId="41" xfId="0" applyNumberFormat="1" applyFont="1" applyBorder="1" applyAlignment="1">
      <alignment horizontal="center" wrapText="1"/>
    </xf>
    <xf numFmtId="174" fontId="47" fillId="0" borderId="0" xfId="0" applyNumberFormat="1" applyFont="1" applyAlignment="1">
      <alignment wrapText="1"/>
    </xf>
    <xf numFmtId="175" fontId="46" fillId="0" borderId="41" xfId="0" applyNumberFormat="1" applyFont="1" applyBorder="1" applyAlignment="1">
      <alignment horizontal="center" wrapText="1"/>
    </xf>
    <xf numFmtId="174" fontId="47" fillId="0" borderId="37" xfId="0" applyNumberFormat="1" applyFont="1" applyBorder="1" applyAlignment="1">
      <alignment wrapText="1"/>
    </xf>
    <xf numFmtId="10" fontId="0" fillId="0" borderId="0" xfId="0" applyNumberFormat="1"/>
    <xf numFmtId="9" fontId="0" fillId="0" borderId="0" xfId="0" applyNumberFormat="1"/>
    <xf numFmtId="2" fontId="47" fillId="0" borderId="0" xfId="0" applyNumberFormat="1" applyFont="1" applyAlignment="1">
      <alignment wrapText="1"/>
    </xf>
    <xf numFmtId="2" fontId="47" fillId="0" borderId="0" xfId="0" applyNumberFormat="1" applyFont="1"/>
    <xf numFmtId="2" fontId="46" fillId="0" borderId="0" xfId="0" applyNumberFormat="1" applyFont="1"/>
    <xf numFmtId="2" fontId="47" fillId="0" borderId="37" xfId="0" applyNumberFormat="1" applyFont="1" applyBorder="1" applyAlignment="1">
      <alignment wrapText="1"/>
    </xf>
    <xf numFmtId="2" fontId="47" fillId="0" borderId="37" xfId="0" applyNumberFormat="1" applyFont="1" applyBorder="1"/>
    <xf numFmtId="174" fontId="47" fillId="0" borderId="0" xfId="0" applyNumberFormat="1" applyFont="1"/>
    <xf numFmtId="174" fontId="46" fillId="0" borderId="0" xfId="0" applyNumberFormat="1" applyFont="1"/>
    <xf numFmtId="174" fontId="47" fillId="0" borderId="37" xfId="0" applyNumberFormat="1" applyFont="1" applyBorder="1"/>
    <xf numFmtId="10" fontId="45" fillId="0" borderId="37" xfId="0" applyNumberFormat="1" applyFont="1" applyBorder="1"/>
    <xf numFmtId="10" fontId="46" fillId="0" borderId="37" xfId="0" applyNumberFormat="1" applyFont="1" applyBorder="1"/>
    <xf numFmtId="10" fontId="45" fillId="0" borderId="37" xfId="0" applyNumberFormat="1" applyFont="1" applyBorder="1" applyAlignment="1">
      <alignment vertical="center"/>
    </xf>
    <xf numFmtId="10" fontId="46" fillId="0" borderId="37" xfId="0" applyNumberFormat="1" applyFont="1" applyBorder="1" applyAlignment="1">
      <alignment vertical="center"/>
    </xf>
    <xf numFmtId="0" fontId="48" fillId="20" borderId="0" xfId="0" applyFont="1" applyFill="1" applyAlignment="1">
      <alignment horizontal="left"/>
    </xf>
    <xf numFmtId="168" fontId="48" fillId="20" borderId="0" xfId="0" applyNumberFormat="1" applyFont="1" applyFill="1"/>
    <xf numFmtId="0" fontId="2" fillId="21" borderId="0" xfId="0" applyFont="1" applyFill="1"/>
    <xf numFmtId="170" fontId="14" fillId="7" borderId="32" xfId="0" applyNumberFormat="1" applyFont="1" applyFill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0" fillId="0" borderId="34" xfId="0" applyBorder="1" applyAlignment="1">
      <alignment horizontal="left" vertical="center"/>
    </xf>
    <xf numFmtId="0" fontId="2" fillId="13" borderId="3" xfId="0" applyFont="1" applyFill="1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43" fillId="0" borderId="39" xfId="0" applyFont="1" applyBorder="1" applyAlignment="1">
      <alignment horizontal="center" wrapText="1"/>
    </xf>
    <xf numFmtId="0" fontId="43" fillId="0" borderId="0" xfId="0" applyFont="1" applyAlignment="1">
      <alignment horizontal="center" vertical="center" textRotation="90" wrapText="1"/>
    </xf>
    <xf numFmtId="0" fontId="43" fillId="0" borderId="40" xfId="0" applyFont="1" applyBorder="1" applyAlignment="1">
      <alignment horizontal="center" vertical="center" textRotation="90" wrapText="1"/>
    </xf>
    <xf numFmtId="0" fontId="35" fillId="13" borderId="3" xfId="0" applyFont="1" applyFill="1" applyBorder="1" applyAlignment="1">
      <alignment horizontal="left" vertical="center"/>
    </xf>
    <xf numFmtId="0" fontId="43" fillId="19" borderId="39" xfId="0" applyFont="1" applyFill="1" applyBorder="1" applyAlignment="1">
      <alignment horizontal="center" vertical="center" wrapText="1"/>
    </xf>
    <xf numFmtId="0" fontId="43" fillId="19" borderId="0" xfId="0" applyFont="1" applyFill="1" applyAlignment="1">
      <alignment horizontal="center" vertical="center" wrapText="1"/>
    </xf>
    <xf numFmtId="0" fontId="43" fillId="19" borderId="40" xfId="0" applyFont="1" applyFill="1" applyBorder="1" applyAlignment="1">
      <alignment horizontal="center" vertical="center" wrapText="1"/>
    </xf>
    <xf numFmtId="0" fontId="47" fillId="0" borderId="38" xfId="0" applyFont="1" applyBorder="1" applyAlignment="1">
      <alignment wrapText="1"/>
    </xf>
    <xf numFmtId="0" fontId="19" fillId="5" borderId="24" xfId="0" applyFont="1" applyFill="1" applyBorder="1" applyAlignment="1">
      <alignment horizontal="center"/>
    </xf>
    <xf numFmtId="0" fontId="19" fillId="5" borderId="23" xfId="0" applyFont="1" applyFill="1" applyBorder="1" applyAlignment="1">
      <alignment horizontal="center"/>
    </xf>
    <xf numFmtId="0" fontId="19" fillId="5" borderId="25" xfId="0" applyFont="1" applyFill="1" applyBorder="1" applyAlignment="1">
      <alignment horizontal="center"/>
    </xf>
    <xf numFmtId="0" fontId="30" fillId="19" borderId="39" xfId="0" applyFont="1" applyFill="1" applyBorder="1" applyAlignment="1">
      <alignment wrapText="1"/>
    </xf>
    <xf numFmtId="0" fontId="30" fillId="19" borderId="0" xfId="0" applyFont="1" applyFill="1" applyAlignment="1">
      <alignment wrapText="1"/>
    </xf>
    <xf numFmtId="0" fontId="30" fillId="19" borderId="40" xfId="0" applyFont="1" applyFill="1" applyBorder="1" applyAlignment="1">
      <alignment wrapText="1"/>
    </xf>
    <xf numFmtId="0" fontId="30" fillId="0" borderId="39" xfId="0" applyFont="1" applyBorder="1" applyAlignment="1">
      <alignment horizontal="center" wrapText="1"/>
    </xf>
    <xf numFmtId="0" fontId="30" fillId="0" borderId="0" xfId="0" applyFont="1" applyAlignment="1">
      <alignment horizontal="center" vertical="center" textRotation="90" wrapText="1"/>
    </xf>
    <xf numFmtId="0" fontId="30" fillId="0" borderId="40" xfId="0" applyFont="1" applyBorder="1" applyAlignment="1">
      <alignment horizontal="center" vertical="center" textRotation="90" wrapText="1"/>
    </xf>
    <xf numFmtId="0" fontId="33" fillId="0" borderId="38" xfId="0" applyFont="1" applyBorder="1" applyAlignment="1">
      <alignment wrapText="1"/>
    </xf>
  </cellXfs>
  <cellStyles count="9">
    <cellStyle name="_x0013_" xfId="8" xr:uid="{1B8B9E15-7028-1D40-A9E5-6D75E97B1280}"/>
    <cellStyle name="Commerzbank First Column" xfId="1" xr:uid="{00000000-0005-0000-0000-000000000000}"/>
    <cellStyle name="Commerzbank Table" xfId="2" xr:uid="{00000000-0005-0000-0000-000001000000}"/>
    <cellStyle name="Commerzbank Table First Row" xfId="6" xr:uid="{00000000-0005-0000-0000-000002000000}"/>
    <cellStyle name="Commerzbank Table Last Row" xfId="3" xr:uid="{00000000-0005-0000-0000-000003000000}"/>
    <cellStyle name="Normal 2" xfId="7" xr:uid="{6871E253-F1C6-6640-A68D-C96E59C1A6C6}"/>
    <cellStyle name="常规" xfId="0" builtinId="0" customBuiltin="1"/>
    <cellStyle name="百分比" xfId="5" builtinId="5" customBuiltin="1"/>
    <cellStyle name="输入" xfId="4" builtinId="20" customBuiltin="1"/>
  </cellStyles>
  <dxfs count="2">
    <dxf>
      <font>
        <b/>
        <i val="0"/>
      </font>
      <fill>
        <patternFill>
          <bgColor theme="7"/>
        </patternFill>
      </fill>
    </dxf>
    <dxf>
      <border>
        <top/>
        <bottom style="thin">
          <color theme="7"/>
        </bottom>
        <horizontal style="thin">
          <color theme="7"/>
        </horizontal>
      </border>
    </dxf>
  </dxfs>
  <tableStyles count="1" defaultTableStyle="TableStyleMedium9" defaultPivotStyle="PivotStyleLight16">
    <tableStyle name="Commerzbank Table" pivot="0" count="2" xr9:uid="{00000000-0011-0000-FFFF-FFFF00000000}">
      <tableStyleElement type="wholeTable" dxfId="1"/>
      <tableStyleElement type="headerRow" dxfId="0"/>
    </tableStyle>
  </tableStyles>
  <colors>
    <mruColors>
      <color rgb="FFB3B3B3"/>
      <color rgb="FFFFCC33"/>
      <color rgb="FF808080"/>
      <color rgb="FFE5E5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333333"/>
      </a:dk2>
      <a:lt2>
        <a:srgbClr val="D0103A"/>
      </a:lt2>
      <a:accent1>
        <a:srgbClr val="FFCC33"/>
      </a:accent1>
      <a:accent2>
        <a:srgbClr val="808080"/>
      </a:accent2>
      <a:accent3>
        <a:srgbClr val="E5E5E5"/>
      </a:accent3>
      <a:accent4>
        <a:srgbClr val="B3B3B3"/>
      </a:accent4>
      <a:accent5>
        <a:srgbClr val="008542"/>
      </a:accent5>
      <a:accent6>
        <a:srgbClr val="002395"/>
      </a:accent6>
      <a:hlink>
        <a:srgbClr val="002395"/>
      </a:hlink>
      <a:folHlink>
        <a:srgbClr val="D0103A"/>
      </a:folHlink>
    </a:clrScheme>
    <a:fontScheme name="Office">
      <a:maj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C13:O29"/>
  <sheetViews>
    <sheetView showGridLines="0" view="pageBreakPreview" zoomScale="70" zoomScaleNormal="55" zoomScaleSheetLayoutView="70" workbookViewId="0">
      <selection activeCell="D40" sqref="D40"/>
    </sheetView>
  </sheetViews>
  <sheetFormatPr defaultColWidth="9.42578125" defaultRowHeight="12.6"/>
  <cols>
    <col min="1" max="1" width="1.42578125" customWidth="1"/>
    <col min="2" max="3" width="3.42578125" customWidth="1"/>
    <col min="4" max="4" width="97.42578125" customWidth="1"/>
    <col min="5" max="9" width="15.42578125" customWidth="1"/>
    <col min="10" max="10" width="3" customWidth="1"/>
    <col min="11" max="11" width="2.42578125" customWidth="1"/>
    <col min="12" max="12" width="2.85546875" customWidth="1"/>
    <col min="13" max="13" width="1.85546875" customWidth="1"/>
    <col min="14" max="14" width="3" customWidth="1"/>
    <col min="15" max="15" width="2.42578125" customWidth="1"/>
    <col min="257" max="257" width="1.42578125" customWidth="1"/>
    <col min="258" max="259" width="3.42578125" customWidth="1"/>
    <col min="260" max="260" width="97.42578125" customWidth="1"/>
    <col min="261" max="265" width="15.42578125" customWidth="1"/>
    <col min="266" max="266" width="3" customWidth="1"/>
    <col min="267" max="267" width="2.42578125" customWidth="1"/>
    <col min="268" max="268" width="2.85546875" customWidth="1"/>
    <col min="269" max="269" width="1.85546875" customWidth="1"/>
    <col min="270" max="270" width="3" customWidth="1"/>
    <col min="271" max="271" width="2.42578125" customWidth="1"/>
    <col min="513" max="513" width="1.42578125" customWidth="1"/>
    <col min="514" max="515" width="3.42578125" customWidth="1"/>
    <col min="516" max="516" width="97.42578125" customWidth="1"/>
    <col min="517" max="521" width="15.42578125" customWidth="1"/>
    <col min="522" max="522" width="3" customWidth="1"/>
    <col min="523" max="523" width="2.42578125" customWidth="1"/>
    <col min="524" max="524" width="2.85546875" customWidth="1"/>
    <col min="525" max="525" width="1.85546875" customWidth="1"/>
    <col min="526" max="526" width="3" customWidth="1"/>
    <col min="527" max="527" width="2.42578125" customWidth="1"/>
    <col min="769" max="769" width="1.42578125" customWidth="1"/>
    <col min="770" max="771" width="3.42578125" customWidth="1"/>
    <col min="772" max="772" width="97.42578125" customWidth="1"/>
    <col min="773" max="777" width="15.42578125" customWidth="1"/>
    <col min="778" max="778" width="3" customWidth="1"/>
    <col min="779" max="779" width="2.42578125" customWidth="1"/>
    <col min="780" max="780" width="2.85546875" customWidth="1"/>
    <col min="781" max="781" width="1.85546875" customWidth="1"/>
    <col min="782" max="782" width="3" customWidth="1"/>
    <col min="783" max="783" width="2.42578125" customWidth="1"/>
    <col min="1025" max="1025" width="1.42578125" customWidth="1"/>
    <col min="1026" max="1027" width="3.42578125" customWidth="1"/>
    <col min="1028" max="1028" width="97.42578125" customWidth="1"/>
    <col min="1029" max="1033" width="15.42578125" customWidth="1"/>
    <col min="1034" max="1034" width="3" customWidth="1"/>
    <col min="1035" max="1035" width="2.42578125" customWidth="1"/>
    <col min="1036" max="1036" width="2.85546875" customWidth="1"/>
    <col min="1037" max="1037" width="1.85546875" customWidth="1"/>
    <col min="1038" max="1038" width="3" customWidth="1"/>
    <col min="1039" max="1039" width="2.42578125" customWidth="1"/>
    <col min="1281" max="1281" width="1.42578125" customWidth="1"/>
    <col min="1282" max="1283" width="3.42578125" customWidth="1"/>
    <col min="1284" max="1284" width="97.42578125" customWidth="1"/>
    <col min="1285" max="1289" width="15.42578125" customWidth="1"/>
    <col min="1290" max="1290" width="3" customWidth="1"/>
    <col min="1291" max="1291" width="2.42578125" customWidth="1"/>
    <col min="1292" max="1292" width="2.85546875" customWidth="1"/>
    <col min="1293" max="1293" width="1.85546875" customWidth="1"/>
    <col min="1294" max="1294" width="3" customWidth="1"/>
    <col min="1295" max="1295" width="2.42578125" customWidth="1"/>
    <col min="1537" max="1537" width="1.42578125" customWidth="1"/>
    <col min="1538" max="1539" width="3.42578125" customWidth="1"/>
    <col min="1540" max="1540" width="97.42578125" customWidth="1"/>
    <col min="1541" max="1545" width="15.42578125" customWidth="1"/>
    <col min="1546" max="1546" width="3" customWidth="1"/>
    <col min="1547" max="1547" width="2.42578125" customWidth="1"/>
    <col min="1548" max="1548" width="2.85546875" customWidth="1"/>
    <col min="1549" max="1549" width="1.85546875" customWidth="1"/>
    <col min="1550" max="1550" width="3" customWidth="1"/>
    <col min="1551" max="1551" width="2.42578125" customWidth="1"/>
    <col min="1793" max="1793" width="1.42578125" customWidth="1"/>
    <col min="1794" max="1795" width="3.42578125" customWidth="1"/>
    <col min="1796" max="1796" width="97.42578125" customWidth="1"/>
    <col min="1797" max="1801" width="15.42578125" customWidth="1"/>
    <col min="1802" max="1802" width="3" customWidth="1"/>
    <col min="1803" max="1803" width="2.42578125" customWidth="1"/>
    <col min="1804" max="1804" width="2.85546875" customWidth="1"/>
    <col min="1805" max="1805" width="1.85546875" customWidth="1"/>
    <col min="1806" max="1806" width="3" customWidth="1"/>
    <col min="1807" max="1807" width="2.42578125" customWidth="1"/>
    <col min="2049" max="2049" width="1.42578125" customWidth="1"/>
    <col min="2050" max="2051" width="3.42578125" customWidth="1"/>
    <col min="2052" max="2052" width="97.42578125" customWidth="1"/>
    <col min="2053" max="2057" width="15.42578125" customWidth="1"/>
    <col min="2058" max="2058" width="3" customWidth="1"/>
    <col min="2059" max="2059" width="2.42578125" customWidth="1"/>
    <col min="2060" max="2060" width="2.85546875" customWidth="1"/>
    <col min="2061" max="2061" width="1.85546875" customWidth="1"/>
    <col min="2062" max="2062" width="3" customWidth="1"/>
    <col min="2063" max="2063" width="2.42578125" customWidth="1"/>
    <col min="2305" max="2305" width="1.42578125" customWidth="1"/>
    <col min="2306" max="2307" width="3.42578125" customWidth="1"/>
    <col min="2308" max="2308" width="97.42578125" customWidth="1"/>
    <col min="2309" max="2313" width="15.42578125" customWidth="1"/>
    <col min="2314" max="2314" width="3" customWidth="1"/>
    <col min="2315" max="2315" width="2.42578125" customWidth="1"/>
    <col min="2316" max="2316" width="2.85546875" customWidth="1"/>
    <col min="2317" max="2317" width="1.85546875" customWidth="1"/>
    <col min="2318" max="2318" width="3" customWidth="1"/>
    <col min="2319" max="2319" width="2.42578125" customWidth="1"/>
    <col min="2561" max="2561" width="1.42578125" customWidth="1"/>
    <col min="2562" max="2563" width="3.42578125" customWidth="1"/>
    <col min="2564" max="2564" width="97.42578125" customWidth="1"/>
    <col min="2565" max="2569" width="15.42578125" customWidth="1"/>
    <col min="2570" max="2570" width="3" customWidth="1"/>
    <col min="2571" max="2571" width="2.42578125" customWidth="1"/>
    <col min="2572" max="2572" width="2.85546875" customWidth="1"/>
    <col min="2573" max="2573" width="1.85546875" customWidth="1"/>
    <col min="2574" max="2574" width="3" customWidth="1"/>
    <col min="2575" max="2575" width="2.42578125" customWidth="1"/>
    <col min="2817" max="2817" width="1.42578125" customWidth="1"/>
    <col min="2818" max="2819" width="3.42578125" customWidth="1"/>
    <col min="2820" max="2820" width="97.42578125" customWidth="1"/>
    <col min="2821" max="2825" width="15.42578125" customWidth="1"/>
    <col min="2826" max="2826" width="3" customWidth="1"/>
    <col min="2827" max="2827" width="2.42578125" customWidth="1"/>
    <col min="2828" max="2828" width="2.85546875" customWidth="1"/>
    <col min="2829" max="2829" width="1.85546875" customWidth="1"/>
    <col min="2830" max="2830" width="3" customWidth="1"/>
    <col min="2831" max="2831" width="2.42578125" customWidth="1"/>
    <col min="3073" max="3073" width="1.42578125" customWidth="1"/>
    <col min="3074" max="3075" width="3.42578125" customWidth="1"/>
    <col min="3076" max="3076" width="97.42578125" customWidth="1"/>
    <col min="3077" max="3081" width="15.42578125" customWidth="1"/>
    <col min="3082" max="3082" width="3" customWidth="1"/>
    <col min="3083" max="3083" width="2.42578125" customWidth="1"/>
    <col min="3084" max="3084" width="2.85546875" customWidth="1"/>
    <col min="3085" max="3085" width="1.85546875" customWidth="1"/>
    <col min="3086" max="3086" width="3" customWidth="1"/>
    <col min="3087" max="3087" width="2.42578125" customWidth="1"/>
    <col min="3329" max="3329" width="1.42578125" customWidth="1"/>
    <col min="3330" max="3331" width="3.42578125" customWidth="1"/>
    <col min="3332" max="3332" width="97.42578125" customWidth="1"/>
    <col min="3333" max="3337" width="15.42578125" customWidth="1"/>
    <col min="3338" max="3338" width="3" customWidth="1"/>
    <col min="3339" max="3339" width="2.42578125" customWidth="1"/>
    <col min="3340" max="3340" width="2.85546875" customWidth="1"/>
    <col min="3341" max="3341" width="1.85546875" customWidth="1"/>
    <col min="3342" max="3342" width="3" customWidth="1"/>
    <col min="3343" max="3343" width="2.42578125" customWidth="1"/>
    <col min="3585" max="3585" width="1.42578125" customWidth="1"/>
    <col min="3586" max="3587" width="3.42578125" customWidth="1"/>
    <col min="3588" max="3588" width="97.42578125" customWidth="1"/>
    <col min="3589" max="3593" width="15.42578125" customWidth="1"/>
    <col min="3594" max="3594" width="3" customWidth="1"/>
    <col min="3595" max="3595" width="2.42578125" customWidth="1"/>
    <col min="3596" max="3596" width="2.85546875" customWidth="1"/>
    <col min="3597" max="3597" width="1.85546875" customWidth="1"/>
    <col min="3598" max="3598" width="3" customWidth="1"/>
    <col min="3599" max="3599" width="2.42578125" customWidth="1"/>
    <col min="3841" max="3841" width="1.42578125" customWidth="1"/>
    <col min="3842" max="3843" width="3.42578125" customWidth="1"/>
    <col min="3844" max="3844" width="97.42578125" customWidth="1"/>
    <col min="3845" max="3849" width="15.42578125" customWidth="1"/>
    <col min="3850" max="3850" width="3" customWidth="1"/>
    <col min="3851" max="3851" width="2.42578125" customWidth="1"/>
    <col min="3852" max="3852" width="2.85546875" customWidth="1"/>
    <col min="3853" max="3853" width="1.85546875" customWidth="1"/>
    <col min="3854" max="3854" width="3" customWidth="1"/>
    <col min="3855" max="3855" width="2.42578125" customWidth="1"/>
    <col min="4097" max="4097" width="1.42578125" customWidth="1"/>
    <col min="4098" max="4099" width="3.42578125" customWidth="1"/>
    <col min="4100" max="4100" width="97.42578125" customWidth="1"/>
    <col min="4101" max="4105" width="15.42578125" customWidth="1"/>
    <col min="4106" max="4106" width="3" customWidth="1"/>
    <col min="4107" max="4107" width="2.42578125" customWidth="1"/>
    <col min="4108" max="4108" width="2.85546875" customWidth="1"/>
    <col min="4109" max="4109" width="1.85546875" customWidth="1"/>
    <col min="4110" max="4110" width="3" customWidth="1"/>
    <col min="4111" max="4111" width="2.42578125" customWidth="1"/>
    <col min="4353" max="4353" width="1.42578125" customWidth="1"/>
    <col min="4354" max="4355" width="3.42578125" customWidth="1"/>
    <col min="4356" max="4356" width="97.42578125" customWidth="1"/>
    <col min="4357" max="4361" width="15.42578125" customWidth="1"/>
    <col min="4362" max="4362" width="3" customWidth="1"/>
    <col min="4363" max="4363" width="2.42578125" customWidth="1"/>
    <col min="4364" max="4364" width="2.85546875" customWidth="1"/>
    <col min="4365" max="4365" width="1.85546875" customWidth="1"/>
    <col min="4366" max="4366" width="3" customWidth="1"/>
    <col min="4367" max="4367" width="2.42578125" customWidth="1"/>
    <col min="4609" max="4609" width="1.42578125" customWidth="1"/>
    <col min="4610" max="4611" width="3.42578125" customWidth="1"/>
    <col min="4612" max="4612" width="97.42578125" customWidth="1"/>
    <col min="4613" max="4617" width="15.42578125" customWidth="1"/>
    <col min="4618" max="4618" width="3" customWidth="1"/>
    <col min="4619" max="4619" width="2.42578125" customWidth="1"/>
    <col min="4620" max="4620" width="2.85546875" customWidth="1"/>
    <col min="4621" max="4621" width="1.85546875" customWidth="1"/>
    <col min="4622" max="4622" width="3" customWidth="1"/>
    <col min="4623" max="4623" width="2.42578125" customWidth="1"/>
    <col min="4865" max="4865" width="1.42578125" customWidth="1"/>
    <col min="4866" max="4867" width="3.42578125" customWidth="1"/>
    <col min="4868" max="4868" width="97.42578125" customWidth="1"/>
    <col min="4869" max="4873" width="15.42578125" customWidth="1"/>
    <col min="4874" max="4874" width="3" customWidth="1"/>
    <col min="4875" max="4875" width="2.42578125" customWidth="1"/>
    <col min="4876" max="4876" width="2.85546875" customWidth="1"/>
    <col min="4877" max="4877" width="1.85546875" customWidth="1"/>
    <col min="4878" max="4878" width="3" customWidth="1"/>
    <col min="4879" max="4879" width="2.42578125" customWidth="1"/>
    <col min="5121" max="5121" width="1.42578125" customWidth="1"/>
    <col min="5122" max="5123" width="3.42578125" customWidth="1"/>
    <col min="5124" max="5124" width="97.42578125" customWidth="1"/>
    <col min="5125" max="5129" width="15.42578125" customWidth="1"/>
    <col min="5130" max="5130" width="3" customWidth="1"/>
    <col min="5131" max="5131" width="2.42578125" customWidth="1"/>
    <col min="5132" max="5132" width="2.85546875" customWidth="1"/>
    <col min="5133" max="5133" width="1.85546875" customWidth="1"/>
    <col min="5134" max="5134" width="3" customWidth="1"/>
    <col min="5135" max="5135" width="2.42578125" customWidth="1"/>
    <col min="5377" max="5377" width="1.42578125" customWidth="1"/>
    <col min="5378" max="5379" width="3.42578125" customWidth="1"/>
    <col min="5380" max="5380" width="97.42578125" customWidth="1"/>
    <col min="5381" max="5385" width="15.42578125" customWidth="1"/>
    <col min="5386" max="5386" width="3" customWidth="1"/>
    <col min="5387" max="5387" width="2.42578125" customWidth="1"/>
    <col min="5388" max="5388" width="2.85546875" customWidth="1"/>
    <col min="5389" max="5389" width="1.85546875" customWidth="1"/>
    <col min="5390" max="5390" width="3" customWidth="1"/>
    <col min="5391" max="5391" width="2.42578125" customWidth="1"/>
    <col min="5633" max="5633" width="1.42578125" customWidth="1"/>
    <col min="5634" max="5635" width="3.42578125" customWidth="1"/>
    <col min="5636" max="5636" width="97.42578125" customWidth="1"/>
    <col min="5637" max="5641" width="15.42578125" customWidth="1"/>
    <col min="5642" max="5642" width="3" customWidth="1"/>
    <col min="5643" max="5643" width="2.42578125" customWidth="1"/>
    <col min="5644" max="5644" width="2.85546875" customWidth="1"/>
    <col min="5645" max="5645" width="1.85546875" customWidth="1"/>
    <col min="5646" max="5646" width="3" customWidth="1"/>
    <col min="5647" max="5647" width="2.42578125" customWidth="1"/>
    <col min="5889" max="5889" width="1.42578125" customWidth="1"/>
    <col min="5890" max="5891" width="3.42578125" customWidth="1"/>
    <col min="5892" max="5892" width="97.42578125" customWidth="1"/>
    <col min="5893" max="5897" width="15.42578125" customWidth="1"/>
    <col min="5898" max="5898" width="3" customWidth="1"/>
    <col min="5899" max="5899" width="2.42578125" customWidth="1"/>
    <col min="5900" max="5900" width="2.85546875" customWidth="1"/>
    <col min="5901" max="5901" width="1.85546875" customWidth="1"/>
    <col min="5902" max="5902" width="3" customWidth="1"/>
    <col min="5903" max="5903" width="2.42578125" customWidth="1"/>
    <col min="6145" max="6145" width="1.42578125" customWidth="1"/>
    <col min="6146" max="6147" width="3.42578125" customWidth="1"/>
    <col min="6148" max="6148" width="97.42578125" customWidth="1"/>
    <col min="6149" max="6153" width="15.42578125" customWidth="1"/>
    <col min="6154" max="6154" width="3" customWidth="1"/>
    <col min="6155" max="6155" width="2.42578125" customWidth="1"/>
    <col min="6156" max="6156" width="2.85546875" customWidth="1"/>
    <col min="6157" max="6157" width="1.85546875" customWidth="1"/>
    <col min="6158" max="6158" width="3" customWidth="1"/>
    <col min="6159" max="6159" width="2.42578125" customWidth="1"/>
    <col min="6401" max="6401" width="1.42578125" customWidth="1"/>
    <col min="6402" max="6403" width="3.42578125" customWidth="1"/>
    <col min="6404" max="6404" width="97.42578125" customWidth="1"/>
    <col min="6405" max="6409" width="15.42578125" customWidth="1"/>
    <col min="6410" max="6410" width="3" customWidth="1"/>
    <col min="6411" max="6411" width="2.42578125" customWidth="1"/>
    <col min="6412" max="6412" width="2.85546875" customWidth="1"/>
    <col min="6413" max="6413" width="1.85546875" customWidth="1"/>
    <col min="6414" max="6414" width="3" customWidth="1"/>
    <col min="6415" max="6415" width="2.42578125" customWidth="1"/>
    <col min="6657" max="6657" width="1.42578125" customWidth="1"/>
    <col min="6658" max="6659" width="3.42578125" customWidth="1"/>
    <col min="6660" max="6660" width="97.42578125" customWidth="1"/>
    <col min="6661" max="6665" width="15.42578125" customWidth="1"/>
    <col min="6666" max="6666" width="3" customWidth="1"/>
    <col min="6667" max="6667" width="2.42578125" customWidth="1"/>
    <col min="6668" max="6668" width="2.85546875" customWidth="1"/>
    <col min="6669" max="6669" width="1.85546875" customWidth="1"/>
    <col min="6670" max="6670" width="3" customWidth="1"/>
    <col min="6671" max="6671" width="2.42578125" customWidth="1"/>
    <col min="6913" max="6913" width="1.42578125" customWidth="1"/>
    <col min="6914" max="6915" width="3.42578125" customWidth="1"/>
    <col min="6916" max="6916" width="97.42578125" customWidth="1"/>
    <col min="6917" max="6921" width="15.42578125" customWidth="1"/>
    <col min="6922" max="6922" width="3" customWidth="1"/>
    <col min="6923" max="6923" width="2.42578125" customWidth="1"/>
    <col min="6924" max="6924" width="2.85546875" customWidth="1"/>
    <col min="6925" max="6925" width="1.85546875" customWidth="1"/>
    <col min="6926" max="6926" width="3" customWidth="1"/>
    <col min="6927" max="6927" width="2.42578125" customWidth="1"/>
    <col min="7169" max="7169" width="1.42578125" customWidth="1"/>
    <col min="7170" max="7171" width="3.42578125" customWidth="1"/>
    <col min="7172" max="7172" width="97.42578125" customWidth="1"/>
    <col min="7173" max="7177" width="15.42578125" customWidth="1"/>
    <col min="7178" max="7178" width="3" customWidth="1"/>
    <col min="7179" max="7179" width="2.42578125" customWidth="1"/>
    <col min="7180" max="7180" width="2.85546875" customWidth="1"/>
    <col min="7181" max="7181" width="1.85546875" customWidth="1"/>
    <col min="7182" max="7182" width="3" customWidth="1"/>
    <col min="7183" max="7183" width="2.42578125" customWidth="1"/>
    <col min="7425" max="7425" width="1.42578125" customWidth="1"/>
    <col min="7426" max="7427" width="3.42578125" customWidth="1"/>
    <col min="7428" max="7428" width="97.42578125" customWidth="1"/>
    <col min="7429" max="7433" width="15.42578125" customWidth="1"/>
    <col min="7434" max="7434" width="3" customWidth="1"/>
    <col min="7435" max="7435" width="2.42578125" customWidth="1"/>
    <col min="7436" max="7436" width="2.85546875" customWidth="1"/>
    <col min="7437" max="7437" width="1.85546875" customWidth="1"/>
    <col min="7438" max="7438" width="3" customWidth="1"/>
    <col min="7439" max="7439" width="2.42578125" customWidth="1"/>
    <col min="7681" max="7681" width="1.42578125" customWidth="1"/>
    <col min="7682" max="7683" width="3.42578125" customWidth="1"/>
    <col min="7684" max="7684" width="97.42578125" customWidth="1"/>
    <col min="7685" max="7689" width="15.42578125" customWidth="1"/>
    <col min="7690" max="7690" width="3" customWidth="1"/>
    <col min="7691" max="7691" width="2.42578125" customWidth="1"/>
    <col min="7692" max="7692" width="2.85546875" customWidth="1"/>
    <col min="7693" max="7693" width="1.85546875" customWidth="1"/>
    <col min="7694" max="7694" width="3" customWidth="1"/>
    <col min="7695" max="7695" width="2.42578125" customWidth="1"/>
    <col min="7937" max="7937" width="1.42578125" customWidth="1"/>
    <col min="7938" max="7939" width="3.42578125" customWidth="1"/>
    <col min="7940" max="7940" width="97.42578125" customWidth="1"/>
    <col min="7941" max="7945" width="15.42578125" customWidth="1"/>
    <col min="7946" max="7946" width="3" customWidth="1"/>
    <col min="7947" max="7947" width="2.42578125" customWidth="1"/>
    <col min="7948" max="7948" width="2.85546875" customWidth="1"/>
    <col min="7949" max="7949" width="1.85546875" customWidth="1"/>
    <col min="7950" max="7950" width="3" customWidth="1"/>
    <col min="7951" max="7951" width="2.42578125" customWidth="1"/>
    <col min="8193" max="8193" width="1.42578125" customWidth="1"/>
    <col min="8194" max="8195" width="3.42578125" customWidth="1"/>
    <col min="8196" max="8196" width="97.42578125" customWidth="1"/>
    <col min="8197" max="8201" width="15.42578125" customWidth="1"/>
    <col min="8202" max="8202" width="3" customWidth="1"/>
    <col min="8203" max="8203" width="2.42578125" customWidth="1"/>
    <col min="8204" max="8204" width="2.85546875" customWidth="1"/>
    <col min="8205" max="8205" width="1.85546875" customWidth="1"/>
    <col min="8206" max="8206" width="3" customWidth="1"/>
    <col min="8207" max="8207" width="2.42578125" customWidth="1"/>
    <col min="8449" max="8449" width="1.42578125" customWidth="1"/>
    <col min="8450" max="8451" width="3.42578125" customWidth="1"/>
    <col min="8452" max="8452" width="97.42578125" customWidth="1"/>
    <col min="8453" max="8457" width="15.42578125" customWidth="1"/>
    <col min="8458" max="8458" width="3" customWidth="1"/>
    <col min="8459" max="8459" width="2.42578125" customWidth="1"/>
    <col min="8460" max="8460" width="2.85546875" customWidth="1"/>
    <col min="8461" max="8461" width="1.85546875" customWidth="1"/>
    <col min="8462" max="8462" width="3" customWidth="1"/>
    <col min="8463" max="8463" width="2.42578125" customWidth="1"/>
    <col min="8705" max="8705" width="1.42578125" customWidth="1"/>
    <col min="8706" max="8707" width="3.42578125" customWidth="1"/>
    <col min="8708" max="8708" width="97.42578125" customWidth="1"/>
    <col min="8709" max="8713" width="15.42578125" customWidth="1"/>
    <col min="8714" max="8714" width="3" customWidth="1"/>
    <col min="8715" max="8715" width="2.42578125" customWidth="1"/>
    <col min="8716" max="8716" width="2.85546875" customWidth="1"/>
    <col min="8717" max="8717" width="1.85546875" customWidth="1"/>
    <col min="8718" max="8718" width="3" customWidth="1"/>
    <col min="8719" max="8719" width="2.42578125" customWidth="1"/>
    <col min="8961" max="8961" width="1.42578125" customWidth="1"/>
    <col min="8962" max="8963" width="3.42578125" customWidth="1"/>
    <col min="8964" max="8964" width="97.42578125" customWidth="1"/>
    <col min="8965" max="8969" width="15.42578125" customWidth="1"/>
    <col min="8970" max="8970" width="3" customWidth="1"/>
    <col min="8971" max="8971" width="2.42578125" customWidth="1"/>
    <col min="8972" max="8972" width="2.85546875" customWidth="1"/>
    <col min="8973" max="8973" width="1.85546875" customWidth="1"/>
    <col min="8974" max="8974" width="3" customWidth="1"/>
    <col min="8975" max="8975" width="2.42578125" customWidth="1"/>
    <col min="9217" max="9217" width="1.42578125" customWidth="1"/>
    <col min="9218" max="9219" width="3.42578125" customWidth="1"/>
    <col min="9220" max="9220" width="97.42578125" customWidth="1"/>
    <col min="9221" max="9225" width="15.42578125" customWidth="1"/>
    <col min="9226" max="9226" width="3" customWidth="1"/>
    <col min="9227" max="9227" width="2.42578125" customWidth="1"/>
    <col min="9228" max="9228" width="2.85546875" customWidth="1"/>
    <col min="9229" max="9229" width="1.85546875" customWidth="1"/>
    <col min="9230" max="9230" width="3" customWidth="1"/>
    <col min="9231" max="9231" width="2.42578125" customWidth="1"/>
    <col min="9473" max="9473" width="1.42578125" customWidth="1"/>
    <col min="9474" max="9475" width="3.42578125" customWidth="1"/>
    <col min="9476" max="9476" width="97.42578125" customWidth="1"/>
    <col min="9477" max="9481" width="15.42578125" customWidth="1"/>
    <col min="9482" max="9482" width="3" customWidth="1"/>
    <col min="9483" max="9483" width="2.42578125" customWidth="1"/>
    <col min="9484" max="9484" width="2.85546875" customWidth="1"/>
    <col min="9485" max="9485" width="1.85546875" customWidth="1"/>
    <col min="9486" max="9486" width="3" customWidth="1"/>
    <col min="9487" max="9487" width="2.42578125" customWidth="1"/>
    <col min="9729" max="9729" width="1.42578125" customWidth="1"/>
    <col min="9730" max="9731" width="3.42578125" customWidth="1"/>
    <col min="9732" max="9732" width="97.42578125" customWidth="1"/>
    <col min="9733" max="9737" width="15.42578125" customWidth="1"/>
    <col min="9738" max="9738" width="3" customWidth="1"/>
    <col min="9739" max="9739" width="2.42578125" customWidth="1"/>
    <col min="9740" max="9740" width="2.85546875" customWidth="1"/>
    <col min="9741" max="9741" width="1.85546875" customWidth="1"/>
    <col min="9742" max="9742" width="3" customWidth="1"/>
    <col min="9743" max="9743" width="2.42578125" customWidth="1"/>
    <col min="9985" max="9985" width="1.42578125" customWidth="1"/>
    <col min="9986" max="9987" width="3.42578125" customWidth="1"/>
    <col min="9988" max="9988" width="97.42578125" customWidth="1"/>
    <col min="9989" max="9993" width="15.42578125" customWidth="1"/>
    <col min="9994" max="9994" width="3" customWidth="1"/>
    <col min="9995" max="9995" width="2.42578125" customWidth="1"/>
    <col min="9996" max="9996" width="2.85546875" customWidth="1"/>
    <col min="9997" max="9997" width="1.85546875" customWidth="1"/>
    <col min="9998" max="9998" width="3" customWidth="1"/>
    <col min="9999" max="9999" width="2.42578125" customWidth="1"/>
    <col min="10241" max="10241" width="1.42578125" customWidth="1"/>
    <col min="10242" max="10243" width="3.42578125" customWidth="1"/>
    <col min="10244" max="10244" width="97.42578125" customWidth="1"/>
    <col min="10245" max="10249" width="15.42578125" customWidth="1"/>
    <col min="10250" max="10250" width="3" customWidth="1"/>
    <col min="10251" max="10251" width="2.42578125" customWidth="1"/>
    <col min="10252" max="10252" width="2.85546875" customWidth="1"/>
    <col min="10253" max="10253" width="1.85546875" customWidth="1"/>
    <col min="10254" max="10254" width="3" customWidth="1"/>
    <col min="10255" max="10255" width="2.42578125" customWidth="1"/>
    <col min="10497" max="10497" width="1.42578125" customWidth="1"/>
    <col min="10498" max="10499" width="3.42578125" customWidth="1"/>
    <col min="10500" max="10500" width="97.42578125" customWidth="1"/>
    <col min="10501" max="10505" width="15.42578125" customWidth="1"/>
    <col min="10506" max="10506" width="3" customWidth="1"/>
    <col min="10507" max="10507" width="2.42578125" customWidth="1"/>
    <col min="10508" max="10508" width="2.85546875" customWidth="1"/>
    <col min="10509" max="10509" width="1.85546875" customWidth="1"/>
    <col min="10510" max="10510" width="3" customWidth="1"/>
    <col min="10511" max="10511" width="2.42578125" customWidth="1"/>
    <col min="10753" max="10753" width="1.42578125" customWidth="1"/>
    <col min="10754" max="10755" width="3.42578125" customWidth="1"/>
    <col min="10756" max="10756" width="97.42578125" customWidth="1"/>
    <col min="10757" max="10761" width="15.42578125" customWidth="1"/>
    <col min="10762" max="10762" width="3" customWidth="1"/>
    <col min="10763" max="10763" width="2.42578125" customWidth="1"/>
    <col min="10764" max="10764" width="2.85546875" customWidth="1"/>
    <col min="10765" max="10765" width="1.85546875" customWidth="1"/>
    <col min="10766" max="10766" width="3" customWidth="1"/>
    <col min="10767" max="10767" width="2.42578125" customWidth="1"/>
    <col min="11009" max="11009" width="1.42578125" customWidth="1"/>
    <col min="11010" max="11011" width="3.42578125" customWidth="1"/>
    <col min="11012" max="11012" width="97.42578125" customWidth="1"/>
    <col min="11013" max="11017" width="15.42578125" customWidth="1"/>
    <col min="11018" max="11018" width="3" customWidth="1"/>
    <col min="11019" max="11019" width="2.42578125" customWidth="1"/>
    <col min="11020" max="11020" width="2.85546875" customWidth="1"/>
    <col min="11021" max="11021" width="1.85546875" customWidth="1"/>
    <col min="11022" max="11022" width="3" customWidth="1"/>
    <col min="11023" max="11023" width="2.42578125" customWidth="1"/>
    <col min="11265" max="11265" width="1.42578125" customWidth="1"/>
    <col min="11266" max="11267" width="3.42578125" customWidth="1"/>
    <col min="11268" max="11268" width="97.42578125" customWidth="1"/>
    <col min="11269" max="11273" width="15.42578125" customWidth="1"/>
    <col min="11274" max="11274" width="3" customWidth="1"/>
    <col min="11275" max="11275" width="2.42578125" customWidth="1"/>
    <col min="11276" max="11276" width="2.85546875" customWidth="1"/>
    <col min="11277" max="11277" width="1.85546875" customWidth="1"/>
    <col min="11278" max="11278" width="3" customWidth="1"/>
    <col min="11279" max="11279" width="2.42578125" customWidth="1"/>
    <col min="11521" max="11521" width="1.42578125" customWidth="1"/>
    <col min="11522" max="11523" width="3.42578125" customWidth="1"/>
    <col min="11524" max="11524" width="97.42578125" customWidth="1"/>
    <col min="11525" max="11529" width="15.42578125" customWidth="1"/>
    <col min="11530" max="11530" width="3" customWidth="1"/>
    <col min="11531" max="11531" width="2.42578125" customWidth="1"/>
    <col min="11532" max="11532" width="2.85546875" customWidth="1"/>
    <col min="11533" max="11533" width="1.85546875" customWidth="1"/>
    <col min="11534" max="11534" width="3" customWidth="1"/>
    <col min="11535" max="11535" width="2.42578125" customWidth="1"/>
    <col min="11777" max="11777" width="1.42578125" customWidth="1"/>
    <col min="11778" max="11779" width="3.42578125" customWidth="1"/>
    <col min="11780" max="11780" width="97.42578125" customWidth="1"/>
    <col min="11781" max="11785" width="15.42578125" customWidth="1"/>
    <col min="11786" max="11786" width="3" customWidth="1"/>
    <col min="11787" max="11787" width="2.42578125" customWidth="1"/>
    <col min="11788" max="11788" width="2.85546875" customWidth="1"/>
    <col min="11789" max="11789" width="1.85546875" customWidth="1"/>
    <col min="11790" max="11790" width="3" customWidth="1"/>
    <col min="11791" max="11791" width="2.42578125" customWidth="1"/>
    <col min="12033" max="12033" width="1.42578125" customWidth="1"/>
    <col min="12034" max="12035" width="3.42578125" customWidth="1"/>
    <col min="12036" max="12036" width="97.42578125" customWidth="1"/>
    <col min="12037" max="12041" width="15.42578125" customWidth="1"/>
    <col min="12042" max="12042" width="3" customWidth="1"/>
    <col min="12043" max="12043" width="2.42578125" customWidth="1"/>
    <col min="12044" max="12044" width="2.85546875" customWidth="1"/>
    <col min="12045" max="12045" width="1.85546875" customWidth="1"/>
    <col min="12046" max="12046" width="3" customWidth="1"/>
    <col min="12047" max="12047" width="2.42578125" customWidth="1"/>
    <col min="12289" max="12289" width="1.42578125" customWidth="1"/>
    <col min="12290" max="12291" width="3.42578125" customWidth="1"/>
    <col min="12292" max="12292" width="97.42578125" customWidth="1"/>
    <col min="12293" max="12297" width="15.42578125" customWidth="1"/>
    <col min="12298" max="12298" width="3" customWidth="1"/>
    <col min="12299" max="12299" width="2.42578125" customWidth="1"/>
    <col min="12300" max="12300" width="2.85546875" customWidth="1"/>
    <col min="12301" max="12301" width="1.85546875" customWidth="1"/>
    <col min="12302" max="12302" width="3" customWidth="1"/>
    <col min="12303" max="12303" width="2.42578125" customWidth="1"/>
    <col min="12545" max="12545" width="1.42578125" customWidth="1"/>
    <col min="12546" max="12547" width="3.42578125" customWidth="1"/>
    <col min="12548" max="12548" width="97.42578125" customWidth="1"/>
    <col min="12549" max="12553" width="15.42578125" customWidth="1"/>
    <col min="12554" max="12554" width="3" customWidth="1"/>
    <col min="12555" max="12555" width="2.42578125" customWidth="1"/>
    <col min="12556" max="12556" width="2.85546875" customWidth="1"/>
    <col min="12557" max="12557" width="1.85546875" customWidth="1"/>
    <col min="12558" max="12558" width="3" customWidth="1"/>
    <col min="12559" max="12559" width="2.42578125" customWidth="1"/>
    <col min="12801" max="12801" width="1.42578125" customWidth="1"/>
    <col min="12802" max="12803" width="3.42578125" customWidth="1"/>
    <col min="12804" max="12804" width="97.42578125" customWidth="1"/>
    <col min="12805" max="12809" width="15.42578125" customWidth="1"/>
    <col min="12810" max="12810" width="3" customWidth="1"/>
    <col min="12811" max="12811" width="2.42578125" customWidth="1"/>
    <col min="12812" max="12812" width="2.85546875" customWidth="1"/>
    <col min="12813" max="12813" width="1.85546875" customWidth="1"/>
    <col min="12814" max="12814" width="3" customWidth="1"/>
    <col min="12815" max="12815" width="2.42578125" customWidth="1"/>
    <col min="13057" max="13057" width="1.42578125" customWidth="1"/>
    <col min="13058" max="13059" width="3.42578125" customWidth="1"/>
    <col min="13060" max="13060" width="97.42578125" customWidth="1"/>
    <col min="13061" max="13065" width="15.42578125" customWidth="1"/>
    <col min="13066" max="13066" width="3" customWidth="1"/>
    <col min="13067" max="13067" width="2.42578125" customWidth="1"/>
    <col min="13068" max="13068" width="2.85546875" customWidth="1"/>
    <col min="13069" max="13069" width="1.85546875" customWidth="1"/>
    <col min="13070" max="13070" width="3" customWidth="1"/>
    <col min="13071" max="13071" width="2.42578125" customWidth="1"/>
    <col min="13313" max="13313" width="1.42578125" customWidth="1"/>
    <col min="13314" max="13315" width="3.42578125" customWidth="1"/>
    <col min="13316" max="13316" width="97.42578125" customWidth="1"/>
    <col min="13317" max="13321" width="15.42578125" customWidth="1"/>
    <col min="13322" max="13322" width="3" customWidth="1"/>
    <col min="13323" max="13323" width="2.42578125" customWidth="1"/>
    <col min="13324" max="13324" width="2.85546875" customWidth="1"/>
    <col min="13325" max="13325" width="1.85546875" customWidth="1"/>
    <col min="13326" max="13326" width="3" customWidth="1"/>
    <col min="13327" max="13327" width="2.42578125" customWidth="1"/>
    <col min="13569" max="13569" width="1.42578125" customWidth="1"/>
    <col min="13570" max="13571" width="3.42578125" customWidth="1"/>
    <col min="13572" max="13572" width="97.42578125" customWidth="1"/>
    <col min="13573" max="13577" width="15.42578125" customWidth="1"/>
    <col min="13578" max="13578" width="3" customWidth="1"/>
    <col min="13579" max="13579" width="2.42578125" customWidth="1"/>
    <col min="13580" max="13580" width="2.85546875" customWidth="1"/>
    <col min="13581" max="13581" width="1.85546875" customWidth="1"/>
    <col min="13582" max="13582" width="3" customWidth="1"/>
    <col min="13583" max="13583" width="2.42578125" customWidth="1"/>
    <col min="13825" max="13825" width="1.42578125" customWidth="1"/>
    <col min="13826" max="13827" width="3.42578125" customWidth="1"/>
    <col min="13828" max="13828" width="97.42578125" customWidth="1"/>
    <col min="13829" max="13833" width="15.42578125" customWidth="1"/>
    <col min="13834" max="13834" width="3" customWidth="1"/>
    <col min="13835" max="13835" width="2.42578125" customWidth="1"/>
    <col min="13836" max="13836" width="2.85546875" customWidth="1"/>
    <col min="13837" max="13837" width="1.85546875" customWidth="1"/>
    <col min="13838" max="13838" width="3" customWidth="1"/>
    <col min="13839" max="13839" width="2.42578125" customWidth="1"/>
    <col min="14081" max="14081" width="1.42578125" customWidth="1"/>
    <col min="14082" max="14083" width="3.42578125" customWidth="1"/>
    <col min="14084" max="14084" width="97.42578125" customWidth="1"/>
    <col min="14085" max="14089" width="15.42578125" customWidth="1"/>
    <col min="14090" max="14090" width="3" customWidth="1"/>
    <col min="14091" max="14091" width="2.42578125" customWidth="1"/>
    <col min="14092" max="14092" width="2.85546875" customWidth="1"/>
    <col min="14093" max="14093" width="1.85546875" customWidth="1"/>
    <col min="14094" max="14094" width="3" customWidth="1"/>
    <col min="14095" max="14095" width="2.42578125" customWidth="1"/>
    <col min="14337" max="14337" width="1.42578125" customWidth="1"/>
    <col min="14338" max="14339" width="3.42578125" customWidth="1"/>
    <col min="14340" max="14340" width="97.42578125" customWidth="1"/>
    <col min="14341" max="14345" width="15.42578125" customWidth="1"/>
    <col min="14346" max="14346" width="3" customWidth="1"/>
    <col min="14347" max="14347" width="2.42578125" customWidth="1"/>
    <col min="14348" max="14348" width="2.85546875" customWidth="1"/>
    <col min="14349" max="14349" width="1.85546875" customWidth="1"/>
    <col min="14350" max="14350" width="3" customWidth="1"/>
    <col min="14351" max="14351" width="2.42578125" customWidth="1"/>
    <col min="14593" max="14593" width="1.42578125" customWidth="1"/>
    <col min="14594" max="14595" width="3.42578125" customWidth="1"/>
    <col min="14596" max="14596" width="97.42578125" customWidth="1"/>
    <col min="14597" max="14601" width="15.42578125" customWidth="1"/>
    <col min="14602" max="14602" width="3" customWidth="1"/>
    <col min="14603" max="14603" width="2.42578125" customWidth="1"/>
    <col min="14604" max="14604" width="2.85546875" customWidth="1"/>
    <col min="14605" max="14605" width="1.85546875" customWidth="1"/>
    <col min="14606" max="14606" width="3" customWidth="1"/>
    <col min="14607" max="14607" width="2.42578125" customWidth="1"/>
    <col min="14849" max="14849" width="1.42578125" customWidth="1"/>
    <col min="14850" max="14851" width="3.42578125" customWidth="1"/>
    <col min="14852" max="14852" width="97.42578125" customWidth="1"/>
    <col min="14853" max="14857" width="15.42578125" customWidth="1"/>
    <col min="14858" max="14858" width="3" customWidth="1"/>
    <col min="14859" max="14859" width="2.42578125" customWidth="1"/>
    <col min="14860" max="14860" width="2.85546875" customWidth="1"/>
    <col min="14861" max="14861" width="1.85546875" customWidth="1"/>
    <col min="14862" max="14862" width="3" customWidth="1"/>
    <col min="14863" max="14863" width="2.42578125" customWidth="1"/>
    <col min="15105" max="15105" width="1.42578125" customWidth="1"/>
    <col min="15106" max="15107" width="3.42578125" customWidth="1"/>
    <col min="15108" max="15108" width="97.42578125" customWidth="1"/>
    <col min="15109" max="15113" width="15.42578125" customWidth="1"/>
    <col min="15114" max="15114" width="3" customWidth="1"/>
    <col min="15115" max="15115" width="2.42578125" customWidth="1"/>
    <col min="15116" max="15116" width="2.85546875" customWidth="1"/>
    <col min="15117" max="15117" width="1.85546875" customWidth="1"/>
    <col min="15118" max="15118" width="3" customWidth="1"/>
    <col min="15119" max="15119" width="2.42578125" customWidth="1"/>
    <col min="15361" max="15361" width="1.42578125" customWidth="1"/>
    <col min="15362" max="15363" width="3.42578125" customWidth="1"/>
    <col min="15364" max="15364" width="97.42578125" customWidth="1"/>
    <col min="15365" max="15369" width="15.42578125" customWidth="1"/>
    <col min="15370" max="15370" width="3" customWidth="1"/>
    <col min="15371" max="15371" width="2.42578125" customWidth="1"/>
    <col min="15372" max="15372" width="2.85546875" customWidth="1"/>
    <col min="15373" max="15373" width="1.85546875" customWidth="1"/>
    <col min="15374" max="15374" width="3" customWidth="1"/>
    <col min="15375" max="15375" width="2.42578125" customWidth="1"/>
    <col min="15617" max="15617" width="1.42578125" customWidth="1"/>
    <col min="15618" max="15619" width="3.42578125" customWidth="1"/>
    <col min="15620" max="15620" width="97.42578125" customWidth="1"/>
    <col min="15621" max="15625" width="15.42578125" customWidth="1"/>
    <col min="15626" max="15626" width="3" customWidth="1"/>
    <col min="15627" max="15627" width="2.42578125" customWidth="1"/>
    <col min="15628" max="15628" width="2.85546875" customWidth="1"/>
    <col min="15629" max="15629" width="1.85546875" customWidth="1"/>
    <col min="15630" max="15630" width="3" customWidth="1"/>
    <col min="15631" max="15631" width="2.42578125" customWidth="1"/>
    <col min="15873" max="15873" width="1.42578125" customWidth="1"/>
    <col min="15874" max="15875" width="3.42578125" customWidth="1"/>
    <col min="15876" max="15876" width="97.42578125" customWidth="1"/>
    <col min="15877" max="15881" width="15.42578125" customWidth="1"/>
    <col min="15882" max="15882" width="3" customWidth="1"/>
    <col min="15883" max="15883" width="2.42578125" customWidth="1"/>
    <col min="15884" max="15884" width="2.85546875" customWidth="1"/>
    <col min="15885" max="15885" width="1.85546875" customWidth="1"/>
    <col min="15886" max="15886" width="3" customWidth="1"/>
    <col min="15887" max="15887" width="2.42578125" customWidth="1"/>
    <col min="16129" max="16129" width="1.42578125" customWidth="1"/>
    <col min="16130" max="16131" width="3.42578125" customWidth="1"/>
    <col min="16132" max="16132" width="97.42578125" customWidth="1"/>
    <col min="16133" max="16137" width="15.42578125" customWidth="1"/>
    <col min="16138" max="16138" width="3" customWidth="1"/>
    <col min="16139" max="16139" width="2.42578125" customWidth="1"/>
    <col min="16140" max="16140" width="2.85546875" customWidth="1"/>
    <col min="16141" max="16141" width="1.85546875" customWidth="1"/>
    <col min="16142" max="16142" width="3" customWidth="1"/>
    <col min="16143" max="16143" width="2.42578125" customWidth="1"/>
  </cols>
  <sheetData>
    <row r="13" spans="3:15"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</row>
    <row r="14" spans="3:15"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</row>
    <row r="15" spans="3:15"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</row>
    <row r="16" spans="3:15"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</row>
    <row r="17" spans="3:15" ht="43.5">
      <c r="C17" s="31"/>
      <c r="D17" s="32" t="s">
        <v>0</v>
      </c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</row>
    <row r="18" spans="3:15"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</row>
    <row r="19" spans="3:15" ht="36.950000000000003">
      <c r="C19" s="31"/>
      <c r="D19" s="33" t="s">
        <v>1</v>
      </c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</row>
    <row r="20" spans="3:15"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</row>
    <row r="21" spans="3:15"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  <row r="22" spans="3:15"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</row>
    <row r="23" spans="3:15"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</row>
    <row r="24" spans="3:15" ht="24.95">
      <c r="C24" s="31"/>
      <c r="D24" s="34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</row>
    <row r="25" spans="3:15"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</row>
    <row r="26" spans="3:15"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</row>
    <row r="27" spans="3:15"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</row>
    <row r="28" spans="3:15"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</row>
    <row r="29" spans="3:15"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</row>
  </sheetData>
  <pageMargins left="0.74803149606299213" right="0.74803149606299213" top="0.98425196850393704" bottom="0.98425196850393704" header="0.51181102362204722" footer="0.51181102362204722"/>
  <pageSetup paperSize="9" scale="64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/>
    <pageSetUpPr fitToPage="1"/>
  </sheetPr>
  <dimension ref="A1:O24"/>
  <sheetViews>
    <sheetView showGridLines="0" tabSelected="1" zoomScale="120" zoomScaleNormal="120" zoomScaleSheetLayoutView="130" workbookViewId="0">
      <selection activeCell="M25" sqref="M25"/>
    </sheetView>
  </sheetViews>
  <sheetFormatPr defaultColWidth="9.42578125" defaultRowHeight="12.6"/>
  <cols>
    <col min="1" max="5" width="2.5703125" customWidth="1"/>
    <col min="6" max="6" width="20.5703125" customWidth="1"/>
    <col min="7" max="7" width="12" customWidth="1"/>
    <col min="8" max="8" width="13" customWidth="1"/>
    <col min="9" max="13" width="12" customWidth="1"/>
    <col min="18" max="18" width="30" customWidth="1"/>
    <col min="19" max="21" width="13.85546875" customWidth="1"/>
  </cols>
  <sheetData>
    <row r="1" spans="1:15" s="19" customFormat="1" ht="10.5">
      <c r="A1" s="85" t="s">
        <v>2</v>
      </c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</row>
    <row r="2" spans="1:15">
      <c r="B2" s="19" t="s">
        <v>3</v>
      </c>
    </row>
    <row r="3" spans="1:15" ht="12.95" thickBot="1">
      <c r="B3" s="19"/>
      <c r="H3" s="50" t="s">
        <v>4</v>
      </c>
      <c r="I3" s="51"/>
      <c r="J3" s="51"/>
      <c r="K3" s="52" t="s">
        <v>5</v>
      </c>
      <c r="L3" s="53"/>
      <c r="M3" s="54"/>
    </row>
    <row r="4" spans="1:15" ht="21">
      <c r="B4" s="183" t="s">
        <v>6</v>
      </c>
      <c r="C4" s="184"/>
      <c r="D4" s="184"/>
      <c r="E4" s="184"/>
      <c r="F4" s="184"/>
      <c r="G4" s="185"/>
      <c r="H4" s="55">
        <v>44561</v>
      </c>
      <c r="I4" s="55">
        <v>44926</v>
      </c>
      <c r="J4" s="55">
        <v>45291</v>
      </c>
      <c r="K4" s="56">
        <v>45657</v>
      </c>
      <c r="L4" s="56">
        <v>46022</v>
      </c>
      <c r="M4" s="56">
        <v>46387</v>
      </c>
      <c r="N4" s="80" t="s">
        <v>7</v>
      </c>
      <c r="O4" s="80" t="s">
        <v>8</v>
      </c>
    </row>
    <row r="5" spans="1:15">
      <c r="B5" s="57"/>
      <c r="C5" s="27" t="s">
        <v>9</v>
      </c>
      <c r="D5" s="27"/>
      <c r="E5" s="27"/>
      <c r="F5" s="27"/>
      <c r="G5" s="27"/>
      <c r="H5" s="87">
        <v>294</v>
      </c>
      <c r="I5" s="87">
        <v>297.2</v>
      </c>
      <c r="J5" s="87">
        <v>323.8</v>
      </c>
      <c r="K5" s="87">
        <v>384.2</v>
      </c>
      <c r="L5" s="87">
        <v>397.6</v>
      </c>
      <c r="M5" s="87">
        <v>415.5</v>
      </c>
      <c r="N5" s="59">
        <f>(M5/J5)^0.3333-1</f>
        <v>8.6661927818982409E-2</v>
      </c>
      <c r="O5" s="59">
        <f>(J5/H5)^0.5-1</f>
        <v>4.9457261739460856E-2</v>
      </c>
    </row>
    <row r="6" spans="1:15">
      <c r="B6" s="60"/>
      <c r="C6" s="28" t="s">
        <v>10</v>
      </c>
      <c r="D6" s="29"/>
      <c r="E6" s="29"/>
      <c r="F6" s="29"/>
      <c r="G6" s="29"/>
      <c r="H6" s="61">
        <v>0</v>
      </c>
      <c r="I6" s="61">
        <f>(I5/H5)-1</f>
        <v>1.0884353741496655E-2</v>
      </c>
      <c r="J6" s="61">
        <f>(J5/I5)-1</f>
        <v>8.9502018842530395E-2</v>
      </c>
      <c r="K6" s="61">
        <f t="shared" ref="K6:L6" si="0">(K5/J5)-1</f>
        <v>0.18653489808523771</v>
      </c>
      <c r="L6" s="61">
        <f t="shared" si="0"/>
        <v>3.4877667881311858E-2</v>
      </c>
      <c r="M6" s="61">
        <f>(M5/L5)-1</f>
        <v>4.5020120724345913E-2</v>
      </c>
      <c r="N6" s="61"/>
      <c r="O6" s="62"/>
    </row>
    <row r="7" spans="1:15">
      <c r="B7" s="60"/>
      <c r="C7" s="63" t="s">
        <v>11</v>
      </c>
      <c r="D7" s="28"/>
      <c r="E7" s="29"/>
      <c r="F7" s="29"/>
      <c r="G7" s="29"/>
      <c r="H7" s="64">
        <v>-132.6</v>
      </c>
      <c r="I7" s="64">
        <v>-129.19999999999999</v>
      </c>
      <c r="J7" s="64">
        <v>-150.69999999999999</v>
      </c>
      <c r="K7" s="64">
        <v>-172.8</v>
      </c>
      <c r="L7" s="64">
        <v>-176.2</v>
      </c>
      <c r="M7" s="64">
        <v>-181.7</v>
      </c>
      <c r="N7" s="65"/>
      <c r="O7" s="62"/>
    </row>
    <row r="8" spans="1:15">
      <c r="B8" s="60"/>
      <c r="C8" s="63" t="s">
        <v>12</v>
      </c>
      <c r="D8" s="28"/>
      <c r="E8" s="29"/>
      <c r="F8" s="29"/>
      <c r="G8" s="29"/>
      <c r="H8" s="64">
        <v>-158.5</v>
      </c>
      <c r="I8" s="64">
        <v>-152.80000000000001</v>
      </c>
      <c r="J8" s="64">
        <v>-154.9</v>
      </c>
      <c r="K8" s="64">
        <v>-188.5</v>
      </c>
      <c r="L8" s="64">
        <v>-194</v>
      </c>
      <c r="M8" s="64">
        <v>-200.4</v>
      </c>
      <c r="N8" s="65"/>
      <c r="O8" s="62"/>
    </row>
    <row r="9" spans="1:15">
      <c r="B9" s="66"/>
      <c r="C9" s="27" t="s">
        <v>13</v>
      </c>
      <c r="D9" s="27"/>
      <c r="E9" s="27"/>
      <c r="F9" s="27"/>
      <c r="G9" s="27"/>
      <c r="H9" s="58">
        <f>H5+H7+H8</f>
        <v>2.9000000000000057</v>
      </c>
      <c r="I9" s="58">
        <f t="shared" ref="I9:J9" si="1">I5+I7+I8</f>
        <v>15.199999999999989</v>
      </c>
      <c r="J9" s="58">
        <f t="shared" si="1"/>
        <v>18.200000000000017</v>
      </c>
      <c r="K9" s="58">
        <f t="shared" ref="K9" si="2">K5+K7+K8</f>
        <v>22.899999999999977</v>
      </c>
      <c r="L9" s="58">
        <f t="shared" ref="L9" si="3">L5+L7+L8</f>
        <v>27.400000000000034</v>
      </c>
      <c r="M9" s="58">
        <f t="shared" ref="M9" si="4">M5+M7+M8</f>
        <v>33.400000000000006</v>
      </c>
      <c r="N9" s="59">
        <f>(M9/J9)^0.3333-1</f>
        <v>0.2242860578228596</v>
      </c>
      <c r="O9" s="62"/>
    </row>
    <row r="10" spans="1:15">
      <c r="B10" s="60"/>
      <c r="C10" s="28" t="s">
        <v>14</v>
      </c>
      <c r="D10" s="29"/>
      <c r="E10" s="29"/>
      <c r="F10" s="29"/>
      <c r="G10" s="29"/>
      <c r="H10" s="61">
        <f>H9/H5</f>
        <v>9.8639455782313125E-3</v>
      </c>
      <c r="I10" s="61">
        <f t="shared" ref="I10" si="5">I9/I5</f>
        <v>5.1144010767160124E-2</v>
      </c>
      <c r="J10" s="61">
        <f>J9/J5</f>
        <v>5.6207535515750515E-2</v>
      </c>
      <c r="K10" s="61">
        <f>K9/K5</f>
        <v>5.9604372722540287E-2</v>
      </c>
      <c r="L10" s="61">
        <f>L9/L5</f>
        <v>6.8913480885311948E-2</v>
      </c>
      <c r="M10" s="61">
        <f>M9/M5</f>
        <v>8.0385078219013251E-2</v>
      </c>
      <c r="N10" s="61"/>
      <c r="O10" s="62"/>
    </row>
    <row r="11" spans="1:15">
      <c r="B11" s="60"/>
      <c r="C11" s="63" t="s">
        <v>15</v>
      </c>
      <c r="D11" s="28"/>
      <c r="E11" s="29"/>
      <c r="F11" s="29"/>
      <c r="G11" s="29"/>
      <c r="H11" s="64">
        <v>-6.3</v>
      </c>
      <c r="I11" s="64">
        <v>-6.8</v>
      </c>
      <c r="J11" s="64">
        <v>-7.6</v>
      </c>
      <c r="K11" s="64">
        <v>-7.7</v>
      </c>
      <c r="L11" s="64">
        <v>-7.7</v>
      </c>
      <c r="M11" s="64">
        <v>-7.8</v>
      </c>
      <c r="N11" s="61"/>
      <c r="O11" s="62"/>
    </row>
    <row r="12" spans="1:15">
      <c r="B12" s="66"/>
      <c r="C12" s="27" t="s">
        <v>16</v>
      </c>
      <c r="D12" s="27"/>
      <c r="E12" s="27"/>
      <c r="F12" s="27"/>
      <c r="G12" s="27"/>
      <c r="H12" s="58">
        <f>H9+H11</f>
        <v>-3.3999999999999941</v>
      </c>
      <c r="I12" s="58">
        <f t="shared" ref="I12:J12" si="6">I9+I11</f>
        <v>8.3999999999999879</v>
      </c>
      <c r="J12" s="58">
        <f t="shared" si="6"/>
        <v>10.600000000000017</v>
      </c>
      <c r="K12" s="58">
        <f t="shared" ref="K12" si="7">K9+K11</f>
        <v>15.199999999999978</v>
      </c>
      <c r="L12" s="58">
        <f t="shared" ref="L12" si="8">L9+L11</f>
        <v>19.700000000000035</v>
      </c>
      <c r="M12" s="58">
        <f t="shared" ref="M12" si="9">M9+M11</f>
        <v>25.600000000000005</v>
      </c>
      <c r="N12" s="59">
        <f>(M12/J12)^0.3333-1</f>
        <v>0.34162745028970098</v>
      </c>
      <c r="O12" s="62"/>
    </row>
    <row r="13" spans="1:15">
      <c r="B13" s="60"/>
      <c r="C13" s="28" t="s">
        <v>14</v>
      </c>
      <c r="D13" s="29"/>
      <c r="E13" s="29"/>
      <c r="F13" s="29"/>
      <c r="G13" s="29"/>
      <c r="H13" s="61">
        <f>H12/H5</f>
        <v>-1.1564625850340116E-2</v>
      </c>
      <c r="I13" s="61">
        <f t="shared" ref="I13:L13" si="10">I12/I5</f>
        <v>2.8263795423956892E-2</v>
      </c>
      <c r="J13" s="61">
        <f t="shared" si="10"/>
        <v>3.273625694873384E-2</v>
      </c>
      <c r="K13" s="61">
        <f t="shared" si="10"/>
        <v>3.9562727745965587E-2</v>
      </c>
      <c r="L13" s="61">
        <f t="shared" si="10"/>
        <v>4.9547283702213361E-2</v>
      </c>
      <c r="M13" s="61">
        <f>M12/M5</f>
        <v>6.1612515042117941E-2</v>
      </c>
      <c r="N13" s="61"/>
      <c r="O13" s="62"/>
    </row>
    <row r="16" spans="1:15">
      <c r="G16" s="2" t="s">
        <v>17</v>
      </c>
      <c r="H16" s="88">
        <v>-113.4</v>
      </c>
      <c r="I16" s="88">
        <v>-116.7</v>
      </c>
      <c r="J16" s="88">
        <v>-114.3</v>
      </c>
      <c r="K16" s="88">
        <v>-124.5</v>
      </c>
      <c r="L16" s="88">
        <v>-125.6</v>
      </c>
      <c r="M16" s="88">
        <v>-128.69999999999999</v>
      </c>
    </row>
    <row r="17" spans="7:13">
      <c r="G17" s="2" t="s">
        <v>18</v>
      </c>
      <c r="H17" s="88">
        <v>-65.8</v>
      </c>
      <c r="I17" s="88">
        <v>-56.3</v>
      </c>
      <c r="J17" s="88">
        <v>-59.8</v>
      </c>
      <c r="K17" s="88">
        <v>-64.8</v>
      </c>
      <c r="L17" s="88">
        <v>-69.3</v>
      </c>
      <c r="M17" s="88">
        <v>-72.599999999999994</v>
      </c>
    </row>
    <row r="18" spans="7:13">
      <c r="G18" s="2" t="s">
        <v>19</v>
      </c>
      <c r="H18" s="88">
        <v>20.7</v>
      </c>
      <c r="I18" s="88">
        <v>20.2</v>
      </c>
      <c r="J18" s="88">
        <v>19.2</v>
      </c>
      <c r="K18" s="88">
        <v>0.8</v>
      </c>
      <c r="L18" s="88">
        <v>0.9</v>
      </c>
      <c r="M18" s="88">
        <v>0.9</v>
      </c>
    </row>
    <row r="19" spans="7:13">
      <c r="G19" s="2" t="s">
        <v>12</v>
      </c>
      <c r="H19" s="1">
        <f t="shared" ref="H19:J19" si="11">SUM(H16:H18)</f>
        <v>-158.5</v>
      </c>
      <c r="I19" s="1">
        <f>SUM(I16:I18)</f>
        <v>-152.80000000000001</v>
      </c>
      <c r="J19" s="1">
        <f t="shared" si="11"/>
        <v>-154.9</v>
      </c>
      <c r="K19" s="1">
        <f t="shared" ref="K19" si="12">SUM(K16:K18)</f>
        <v>-188.5</v>
      </c>
      <c r="L19" s="1">
        <f t="shared" ref="L19" si="13">SUM(L16:L18)</f>
        <v>-193.99999999999997</v>
      </c>
      <c r="M19" s="1">
        <f t="shared" ref="M19" si="14">SUM(M16:M18)</f>
        <v>-200.39999999999998</v>
      </c>
    </row>
    <row r="21" spans="7:13" ht="12.95">
      <c r="H21" s="67"/>
    </row>
    <row r="23" spans="7:13">
      <c r="G23" s="2" t="s">
        <v>16</v>
      </c>
      <c r="H23" s="87">
        <v>-3.4</v>
      </c>
      <c r="I23" s="87">
        <v>8.4</v>
      </c>
      <c r="J23" s="87">
        <v>10.6</v>
      </c>
      <c r="K23" s="87">
        <v>15.2</v>
      </c>
      <c r="L23" s="87">
        <v>19.7</v>
      </c>
      <c r="M23" s="87">
        <v>25.6</v>
      </c>
    </row>
    <row r="24" spans="7:13">
      <c r="G24" s="2" t="s">
        <v>15</v>
      </c>
      <c r="H24" s="89">
        <f>H9-H23</f>
        <v>6.300000000000006</v>
      </c>
      <c r="I24" s="88">
        <f t="shared" ref="I24:J24" si="15">I9-I23</f>
        <v>6.7999999999999883</v>
      </c>
      <c r="J24" s="88">
        <f t="shared" si="15"/>
        <v>7.6000000000000174</v>
      </c>
      <c r="K24" s="88">
        <f t="shared" ref="K24" si="16">K9-K23</f>
        <v>7.699999999999978</v>
      </c>
      <c r="L24" s="88">
        <f t="shared" ref="L24" si="17">L9-L23</f>
        <v>7.7000000000000348</v>
      </c>
      <c r="M24" s="89">
        <f>M9-M23</f>
        <v>7.8000000000000043</v>
      </c>
    </row>
  </sheetData>
  <mergeCells count="1">
    <mergeCell ref="B4:G4"/>
  </mergeCells>
  <pageMargins left="0.74803149606299213" right="0.74803149606299213" top="0.98425196850393704" bottom="0.98425196850393704" header="0.51181102362204722" footer="0.51181102362204722"/>
  <pageSetup paperSize="9" scale="96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/>
    <pageSetUpPr fitToPage="1"/>
  </sheetPr>
  <dimension ref="A1:Q57"/>
  <sheetViews>
    <sheetView showGridLines="0" zoomScale="120" zoomScaleNormal="120" zoomScaleSheetLayoutView="85" workbookViewId="0">
      <selection activeCell="H11" sqref="H11:M11"/>
    </sheetView>
  </sheetViews>
  <sheetFormatPr defaultColWidth="9.42578125" defaultRowHeight="12.6"/>
  <cols>
    <col min="1" max="5" width="2.5703125" customWidth="1"/>
    <col min="6" max="6" width="23.5703125" customWidth="1"/>
    <col min="7" max="12" width="12" style="26" customWidth="1"/>
  </cols>
  <sheetData>
    <row r="1" spans="1:13">
      <c r="A1" s="85" t="s">
        <v>2</v>
      </c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s="1" customFormat="1" ht="10.5">
      <c r="B2" s="19" t="s">
        <v>20</v>
      </c>
      <c r="I2" s="7"/>
      <c r="J2" s="2"/>
      <c r="K2" s="2"/>
      <c r="L2" s="2"/>
      <c r="M2" s="2"/>
    </row>
    <row r="3" spans="1:13" s="1" customFormat="1" ht="11.1" thickBot="1">
      <c r="B3" s="19"/>
      <c r="H3" s="50" t="s">
        <v>4</v>
      </c>
      <c r="I3" s="51"/>
      <c r="J3" s="51"/>
      <c r="K3" s="52" t="s">
        <v>5</v>
      </c>
      <c r="L3" s="53"/>
      <c r="M3" s="54"/>
    </row>
    <row r="4" spans="1:13" s="62" customFormat="1" ht="24.75" customHeight="1">
      <c r="B4" s="183" t="s">
        <v>6</v>
      </c>
      <c r="C4" s="184" t="s">
        <v>6</v>
      </c>
      <c r="D4" s="184"/>
      <c r="E4" s="184"/>
      <c r="F4" s="184"/>
      <c r="G4" s="185"/>
      <c r="H4" s="55">
        <f>Profit_Loss!H4</f>
        <v>44561</v>
      </c>
      <c r="I4" s="55">
        <f>Profit_Loss!I4</f>
        <v>44926</v>
      </c>
      <c r="J4" s="55">
        <f>Profit_Loss!J4</f>
        <v>45291</v>
      </c>
      <c r="K4" s="56">
        <f>Profit_Loss!K4</f>
        <v>45657</v>
      </c>
      <c r="L4" s="56">
        <f>Profit_Loss!L4</f>
        <v>46022</v>
      </c>
      <c r="M4" s="56">
        <f>Profit_Loss!M4</f>
        <v>46387</v>
      </c>
    </row>
    <row r="5" spans="1:13" s="62" customFormat="1" ht="17.25" customHeight="1">
      <c r="B5" s="3"/>
      <c r="C5" s="30" t="s">
        <v>21</v>
      </c>
      <c r="D5" s="63"/>
      <c r="E5" s="63"/>
      <c r="F5" s="63"/>
      <c r="G5" s="63"/>
      <c r="H5" s="90">
        <f>H6+H7+H8</f>
        <v>198.6</v>
      </c>
      <c r="I5" s="90">
        <f t="shared" ref="I5:M5" si="0">I6+I7+I8</f>
        <v>178.1</v>
      </c>
      <c r="J5" s="90">
        <f t="shared" si="0"/>
        <v>164</v>
      </c>
      <c r="K5" s="90">
        <f t="shared" si="0"/>
        <v>153.5</v>
      </c>
      <c r="L5" s="90">
        <f t="shared" si="0"/>
        <v>147.4</v>
      </c>
      <c r="M5" s="90">
        <f t="shared" si="0"/>
        <v>144.1</v>
      </c>
    </row>
    <row r="6" spans="1:13" s="62" customFormat="1" ht="17.25" customHeight="1">
      <c r="B6" s="3"/>
      <c r="C6" s="63" t="s">
        <v>22</v>
      </c>
      <c r="D6" s="63"/>
      <c r="E6" s="63"/>
      <c r="F6" s="63"/>
      <c r="G6" s="63"/>
      <c r="H6" s="88">
        <v>157.19999999999999</v>
      </c>
      <c r="I6" s="88">
        <v>143.1</v>
      </c>
      <c r="J6" s="88">
        <v>131.80000000000001</v>
      </c>
      <c r="K6" s="88">
        <v>127.2</v>
      </c>
      <c r="L6" s="88">
        <v>125.6</v>
      </c>
      <c r="M6" s="88">
        <v>125.6</v>
      </c>
    </row>
    <row r="7" spans="1:13" s="62" customFormat="1" ht="17.25" customHeight="1">
      <c r="B7" s="3"/>
      <c r="C7" s="63" t="s">
        <v>23</v>
      </c>
      <c r="D7" s="63"/>
      <c r="E7" s="63"/>
      <c r="F7" s="63"/>
      <c r="G7" s="63"/>
      <c r="H7" s="88">
        <v>28.4</v>
      </c>
      <c r="I7" s="88">
        <v>28.6</v>
      </c>
      <c r="J7" s="88">
        <v>26.6</v>
      </c>
      <c r="K7" s="88">
        <v>24.3</v>
      </c>
      <c r="L7" s="88">
        <v>20.399999999999999</v>
      </c>
      <c r="M7" s="88">
        <v>17.100000000000001</v>
      </c>
    </row>
    <row r="8" spans="1:13" s="62" customFormat="1" ht="17.25" customHeight="1">
      <c r="B8" s="3"/>
      <c r="C8" s="63" t="s">
        <v>24</v>
      </c>
      <c r="D8" s="63"/>
      <c r="E8" s="63"/>
      <c r="F8" s="63"/>
      <c r="G8" s="63"/>
      <c r="H8" s="88">
        <v>13</v>
      </c>
      <c r="I8" s="88">
        <v>6.4</v>
      </c>
      <c r="J8" s="88">
        <v>5.6</v>
      </c>
      <c r="K8" s="64">
        <v>2</v>
      </c>
      <c r="L8" s="64">
        <v>1.4</v>
      </c>
      <c r="M8" s="64">
        <v>1.4</v>
      </c>
    </row>
    <row r="9" spans="1:13" s="62" customFormat="1" ht="17.25" customHeight="1">
      <c r="B9" s="3"/>
      <c r="C9" s="30" t="s">
        <v>25</v>
      </c>
      <c r="D9" s="63"/>
      <c r="E9" s="63"/>
      <c r="F9" s="63"/>
      <c r="G9" s="63"/>
      <c r="H9" s="90">
        <f>H10+H11+H12+H13+H14</f>
        <v>297.20000000000005</v>
      </c>
      <c r="I9" s="90">
        <f t="shared" ref="I9:M9" si="1">I10+I11+I12+I13+I14</f>
        <v>316.40000000000003</v>
      </c>
      <c r="J9" s="90">
        <f t="shared" si="1"/>
        <v>289.89999999999998</v>
      </c>
      <c r="K9" s="90">
        <f t="shared" si="1"/>
        <v>294.39999999999998</v>
      </c>
      <c r="L9" s="90">
        <f t="shared" si="1"/>
        <v>303.39999999999998</v>
      </c>
      <c r="M9" s="90">
        <f t="shared" si="1"/>
        <v>326.79999999999995</v>
      </c>
    </row>
    <row r="10" spans="1:13" s="62" customFormat="1" ht="17.25" customHeight="1">
      <c r="B10" s="3"/>
      <c r="C10" s="63" t="s">
        <v>26</v>
      </c>
      <c r="D10" s="63"/>
      <c r="E10" s="63"/>
      <c r="F10" s="63"/>
      <c r="G10" s="63"/>
      <c r="H10" s="88">
        <v>36.1</v>
      </c>
      <c r="I10" s="88">
        <v>48.2</v>
      </c>
      <c r="J10" s="88">
        <v>36.200000000000003</v>
      </c>
      <c r="K10" s="88">
        <v>50.5</v>
      </c>
      <c r="L10" s="88">
        <v>46.8</v>
      </c>
      <c r="M10" s="88">
        <v>50.5</v>
      </c>
    </row>
    <row r="11" spans="1:13" s="62" customFormat="1" ht="17.25" customHeight="1">
      <c r="B11" s="3"/>
      <c r="C11" s="63" t="s">
        <v>27</v>
      </c>
      <c r="D11" s="63"/>
      <c r="E11" s="63"/>
      <c r="F11" s="63"/>
      <c r="G11" s="63"/>
      <c r="H11" s="88">
        <v>58.7</v>
      </c>
      <c r="I11" s="88">
        <v>41.3</v>
      </c>
      <c r="J11" s="88">
        <v>47.3</v>
      </c>
      <c r="K11" s="88">
        <v>61.7</v>
      </c>
      <c r="L11" s="88">
        <v>67.599999999999994</v>
      </c>
      <c r="M11" s="88">
        <v>69.2</v>
      </c>
    </row>
    <row r="12" spans="1:13" s="62" customFormat="1" ht="17.25" customHeight="1">
      <c r="B12" s="3"/>
      <c r="C12" s="63" t="s">
        <v>28</v>
      </c>
      <c r="D12" s="63"/>
      <c r="E12" s="63"/>
      <c r="F12" s="63"/>
      <c r="G12" s="63"/>
      <c r="H12" s="88">
        <v>14.4</v>
      </c>
      <c r="I12" s="88">
        <v>20.2</v>
      </c>
      <c r="J12" s="88">
        <v>30.8</v>
      </c>
      <c r="K12" s="88">
        <v>6.4</v>
      </c>
      <c r="L12" s="88"/>
      <c r="M12" s="88"/>
    </row>
    <row r="13" spans="1:13" s="62" customFormat="1" ht="17.25" customHeight="1">
      <c r="B13" s="3"/>
      <c r="C13" s="63" t="s">
        <v>29</v>
      </c>
      <c r="D13" s="63"/>
      <c r="E13" s="63"/>
      <c r="F13" s="63"/>
      <c r="G13" s="63"/>
      <c r="H13" s="88">
        <v>17.899999999999999</v>
      </c>
      <c r="I13" s="88">
        <v>15.4</v>
      </c>
      <c r="J13" s="88">
        <v>22.5</v>
      </c>
      <c r="K13" s="88">
        <v>19.899999999999999</v>
      </c>
      <c r="L13" s="88">
        <v>19.899999999999999</v>
      </c>
      <c r="M13" s="88">
        <v>19.899999999999999</v>
      </c>
    </row>
    <row r="14" spans="1:13" s="62" customFormat="1" ht="17.25" customHeight="1">
      <c r="B14" s="3"/>
      <c r="C14" s="63" t="s">
        <v>30</v>
      </c>
      <c r="D14" s="28"/>
      <c r="E14" s="29"/>
      <c r="F14" s="29"/>
      <c r="G14" s="63"/>
      <c r="H14" s="88">
        <v>170.1</v>
      </c>
      <c r="I14" s="88">
        <v>191.3</v>
      </c>
      <c r="J14" s="88">
        <v>153.1</v>
      </c>
      <c r="K14" s="88">
        <v>155.9</v>
      </c>
      <c r="L14" s="88">
        <v>169.1</v>
      </c>
      <c r="M14" s="88">
        <v>187.2</v>
      </c>
    </row>
    <row r="15" spans="1:13" s="62" customFormat="1" ht="17.25" customHeight="1">
      <c r="B15" s="4"/>
      <c r="C15" s="27" t="s">
        <v>31</v>
      </c>
      <c r="D15" s="27"/>
      <c r="E15" s="27"/>
      <c r="F15" s="27"/>
      <c r="G15" s="27"/>
      <c r="H15" s="58">
        <f>H6+H7+H8+H10+H11+H12+H13+H14</f>
        <v>495.79999999999995</v>
      </c>
      <c r="I15" s="58">
        <f t="shared" ref="I15:M15" si="2">I6+I7+I8+I10+I11+I12+I13+I14</f>
        <v>494.5</v>
      </c>
      <c r="J15" s="58">
        <f t="shared" si="2"/>
        <v>453.9</v>
      </c>
      <c r="K15" s="58">
        <f t="shared" si="2"/>
        <v>447.9</v>
      </c>
      <c r="L15" s="58">
        <f t="shared" si="2"/>
        <v>450.79999999999995</v>
      </c>
      <c r="M15" s="58">
        <f t="shared" si="2"/>
        <v>470.9</v>
      </c>
    </row>
    <row r="16" spans="1:13" s="62" customFormat="1" ht="17.25" customHeight="1">
      <c r="B16" s="3"/>
      <c r="C16" s="63" t="s">
        <v>32</v>
      </c>
      <c r="D16" s="28"/>
      <c r="E16" s="29"/>
      <c r="F16" s="29"/>
      <c r="G16" s="63"/>
      <c r="H16" s="88">
        <v>266.8</v>
      </c>
      <c r="I16" s="88">
        <v>246</v>
      </c>
      <c r="J16" s="88">
        <v>227.2</v>
      </c>
      <c r="K16" s="88">
        <v>217.1</v>
      </c>
      <c r="L16" s="88">
        <v>221.3</v>
      </c>
      <c r="M16" s="88">
        <v>232.8</v>
      </c>
    </row>
    <row r="17" spans="2:17" s="62" customFormat="1" ht="17.25" customHeight="1">
      <c r="B17" s="3"/>
      <c r="C17" s="30" t="s">
        <v>33</v>
      </c>
      <c r="D17" s="28"/>
      <c r="E17" s="29"/>
      <c r="F17" s="29"/>
      <c r="G17" s="63"/>
      <c r="H17" s="90">
        <f>H18+H19+H20+H21+H22</f>
        <v>109.8</v>
      </c>
      <c r="I17" s="90">
        <f t="shared" ref="I17:M17" si="3">I18+I19+I20+I21+I22</f>
        <v>106.3</v>
      </c>
      <c r="J17" s="90">
        <f t="shared" si="3"/>
        <v>94.3</v>
      </c>
      <c r="K17" s="90">
        <f t="shared" si="3"/>
        <v>92.5</v>
      </c>
      <c r="L17" s="90">
        <f t="shared" si="3"/>
        <v>92.5</v>
      </c>
      <c r="M17" s="90">
        <f t="shared" si="3"/>
        <v>95.3</v>
      </c>
    </row>
    <row r="18" spans="2:17" s="62" customFormat="1" ht="17.25" customHeight="1">
      <c r="B18" s="3"/>
      <c r="C18" s="63" t="s">
        <v>34</v>
      </c>
      <c r="D18" s="28"/>
      <c r="E18" s="29"/>
      <c r="F18" s="29"/>
      <c r="G18" s="63"/>
      <c r="H18" s="88">
        <v>78.5</v>
      </c>
      <c r="I18" s="88">
        <v>78.5</v>
      </c>
      <c r="J18" s="88">
        <v>74.5</v>
      </c>
      <c r="K18" s="88">
        <v>71</v>
      </c>
      <c r="L18" s="88">
        <v>71</v>
      </c>
      <c r="M18" s="88">
        <v>71</v>
      </c>
      <c r="O18" s="5"/>
      <c r="P18" s="5"/>
      <c r="Q18" s="5"/>
    </row>
    <row r="19" spans="2:17" s="62" customFormat="1" ht="17.25" customHeight="1">
      <c r="B19" s="3"/>
      <c r="C19" s="63" t="s">
        <v>35</v>
      </c>
      <c r="D19" s="28"/>
      <c r="E19" s="29"/>
      <c r="F19" s="29"/>
      <c r="G19" s="63"/>
      <c r="H19" s="88">
        <v>4.5</v>
      </c>
      <c r="I19" s="88">
        <v>3</v>
      </c>
      <c r="J19" s="88">
        <v>1.8</v>
      </c>
      <c r="K19" s="88">
        <v>2.9</v>
      </c>
      <c r="L19" s="88">
        <v>0</v>
      </c>
      <c r="M19" s="88">
        <v>0</v>
      </c>
      <c r="O19" s="5"/>
      <c r="P19" s="5"/>
      <c r="Q19" s="5"/>
    </row>
    <row r="20" spans="2:17" s="62" customFormat="1" ht="17.25" customHeight="1">
      <c r="B20" s="3"/>
      <c r="C20" s="63" t="s">
        <v>36</v>
      </c>
      <c r="D20" s="28"/>
      <c r="E20" s="29"/>
      <c r="F20" s="29"/>
      <c r="G20" s="63"/>
      <c r="H20" s="88">
        <v>1.6</v>
      </c>
      <c r="I20" s="88">
        <v>1.6</v>
      </c>
      <c r="J20" s="88">
        <v>0.8</v>
      </c>
      <c r="K20" s="88">
        <v>2</v>
      </c>
      <c r="L20" s="88">
        <v>21.5</v>
      </c>
      <c r="M20" s="88">
        <v>24.3</v>
      </c>
    </row>
    <row r="21" spans="2:17" s="62" customFormat="1" ht="17.25" customHeight="1">
      <c r="B21" s="3"/>
      <c r="C21" s="63" t="s">
        <v>37</v>
      </c>
      <c r="D21" s="28"/>
      <c r="E21" s="29"/>
      <c r="F21" s="29"/>
      <c r="G21" s="63"/>
      <c r="H21" s="88">
        <v>0</v>
      </c>
      <c r="I21" s="88">
        <v>0</v>
      </c>
      <c r="J21" s="88">
        <v>0</v>
      </c>
      <c r="K21" s="88">
        <v>0</v>
      </c>
      <c r="L21" s="88">
        <v>0</v>
      </c>
      <c r="M21" s="88">
        <v>0</v>
      </c>
    </row>
    <row r="22" spans="2:17" s="62" customFormat="1" ht="17.25" customHeight="1">
      <c r="B22" s="3"/>
      <c r="C22" s="63" t="s">
        <v>38</v>
      </c>
      <c r="D22" s="28"/>
      <c r="E22" s="29"/>
      <c r="F22" s="29"/>
      <c r="G22" s="63"/>
      <c r="H22" s="88">
        <v>25.2</v>
      </c>
      <c r="I22" s="88">
        <v>23.2</v>
      </c>
      <c r="J22" s="88">
        <v>17.2</v>
      </c>
      <c r="K22" s="88">
        <v>16.600000000000001</v>
      </c>
      <c r="L22" s="88"/>
      <c r="M22" s="88"/>
    </row>
    <row r="23" spans="2:17" s="62" customFormat="1" ht="17.25" customHeight="1">
      <c r="B23" s="3"/>
      <c r="C23" s="30" t="s">
        <v>39</v>
      </c>
      <c r="D23" s="28"/>
      <c r="E23" s="29"/>
      <c r="F23" s="29"/>
      <c r="G23" s="63"/>
      <c r="H23" s="90">
        <f>H24+H25+H26+H27+H28</f>
        <v>119.10000000000002</v>
      </c>
      <c r="I23" s="90">
        <f t="shared" ref="I23:M23" si="4">I24+I25+I26+I27+I28</f>
        <v>142.29999999999998</v>
      </c>
      <c r="J23" s="90">
        <f t="shared" si="4"/>
        <v>132.30000000000001</v>
      </c>
      <c r="K23" s="90">
        <f t="shared" si="4"/>
        <v>138.39999999999998</v>
      </c>
      <c r="L23" s="90">
        <f t="shared" si="4"/>
        <v>137.19999999999999</v>
      </c>
      <c r="M23" s="90">
        <f t="shared" si="4"/>
        <v>142.9</v>
      </c>
    </row>
    <row r="24" spans="2:17" s="62" customFormat="1" ht="17.25" customHeight="1">
      <c r="B24" s="3"/>
      <c r="C24" s="63" t="s">
        <v>40</v>
      </c>
      <c r="D24" s="28"/>
      <c r="E24" s="29"/>
      <c r="F24" s="29"/>
      <c r="G24" s="63"/>
      <c r="H24" s="88">
        <v>44.2</v>
      </c>
      <c r="I24" s="88">
        <v>42.2</v>
      </c>
      <c r="J24" s="88">
        <v>37.700000000000003</v>
      </c>
      <c r="K24" s="88">
        <v>40.700000000000003</v>
      </c>
      <c r="L24" s="88">
        <v>40.9</v>
      </c>
      <c r="M24" s="88">
        <v>42.6</v>
      </c>
    </row>
    <row r="25" spans="2:17" s="62" customFormat="1" ht="17.25" customHeight="1">
      <c r="B25" s="3"/>
      <c r="C25" s="63" t="s">
        <v>41</v>
      </c>
      <c r="D25" s="28"/>
      <c r="E25" s="29"/>
      <c r="F25" s="29"/>
      <c r="G25" s="63"/>
      <c r="H25" s="88">
        <v>25.6</v>
      </c>
      <c r="I25" s="88">
        <v>41.4</v>
      </c>
      <c r="J25" s="88">
        <v>39.299999999999997</v>
      </c>
      <c r="K25" s="88">
        <v>35.4</v>
      </c>
      <c r="L25" s="88">
        <v>39.799999999999997</v>
      </c>
      <c r="M25" s="88">
        <v>43.8</v>
      </c>
    </row>
    <row r="26" spans="2:17" s="62" customFormat="1" ht="17.25" customHeight="1">
      <c r="B26" s="3"/>
      <c r="C26" s="63" t="s">
        <v>42</v>
      </c>
      <c r="D26" s="28"/>
      <c r="E26" s="29"/>
      <c r="F26" s="29"/>
      <c r="G26" s="63"/>
      <c r="H26" s="88">
        <v>0.2</v>
      </c>
      <c r="I26" s="88">
        <v>1.6</v>
      </c>
      <c r="J26" s="88">
        <v>1.1000000000000001</v>
      </c>
      <c r="K26" s="88">
        <v>0</v>
      </c>
      <c r="L26" s="88">
        <v>0</v>
      </c>
      <c r="M26" s="88">
        <v>0</v>
      </c>
    </row>
    <row r="27" spans="2:17" s="62" customFormat="1" ht="17.25" customHeight="1">
      <c r="B27" s="3"/>
      <c r="C27" s="63" t="s">
        <v>35</v>
      </c>
      <c r="D27" s="28"/>
      <c r="E27" s="29"/>
      <c r="F27" s="29"/>
      <c r="G27" s="63"/>
      <c r="H27" s="88">
        <v>18.5</v>
      </c>
      <c r="I27" s="88">
        <v>26.7</v>
      </c>
      <c r="J27" s="88">
        <v>18.2</v>
      </c>
      <c r="K27" s="88">
        <v>21.3</v>
      </c>
      <c r="L27" s="88">
        <v>19.899999999999999</v>
      </c>
      <c r="M27" s="88">
        <v>19.899999999999999</v>
      </c>
    </row>
    <row r="28" spans="2:17" s="62" customFormat="1" ht="17.25" customHeight="1">
      <c r="B28" s="3"/>
      <c r="C28" s="63" t="s">
        <v>36</v>
      </c>
      <c r="D28" s="28"/>
      <c r="E28" s="29"/>
      <c r="F28" s="29"/>
      <c r="G28" s="63"/>
      <c r="H28" s="88">
        <v>30.6</v>
      </c>
      <c r="I28" s="88">
        <v>30.4</v>
      </c>
      <c r="J28" s="88">
        <v>36</v>
      </c>
      <c r="K28" s="88">
        <v>41</v>
      </c>
      <c r="L28" s="88">
        <v>36.6</v>
      </c>
      <c r="M28" s="88">
        <v>36.6</v>
      </c>
    </row>
    <row r="29" spans="2:17" s="62" customFormat="1" ht="17.25" customHeight="1">
      <c r="B29" s="4"/>
      <c r="C29" s="27" t="s">
        <v>43</v>
      </c>
      <c r="D29" s="27"/>
      <c r="E29" s="27"/>
      <c r="F29" s="27"/>
      <c r="G29" s="27"/>
      <c r="H29" s="58">
        <f>H16+H18+H19+H20+H21+H22+H24+H25+H26+H27+H28</f>
        <v>495.70000000000005</v>
      </c>
      <c r="I29" s="58">
        <f t="shared" ref="I29:J29" si="5">I16+I18+I19+I20+I21+I22+I24+I25+I26+I27+I28</f>
        <v>494.59999999999997</v>
      </c>
      <c r="J29" s="58">
        <f t="shared" si="5"/>
        <v>453.8</v>
      </c>
      <c r="K29" s="58">
        <f>K16+K18+K19+K20+K21+K22+K24+K25+K26+K27+K28</f>
        <v>448</v>
      </c>
      <c r="L29" s="58">
        <f t="shared" ref="L29" si="6">L16+L18+L19+L20+L21+L22+L24+L25+L26+L27+L28</f>
        <v>451</v>
      </c>
      <c r="M29" s="58">
        <f t="shared" ref="M29" si="7">M16+M18+M19+M20+M21+M22+M24+M25+M26+M27+M28</f>
        <v>471.00000000000006</v>
      </c>
    </row>
    <row r="30" spans="2:17" s="1" customFormat="1" ht="9.9499999999999993">
      <c r="H30" s="2"/>
      <c r="I30" s="2"/>
      <c r="J30" s="2"/>
      <c r="K30" s="2"/>
      <c r="L30" s="2"/>
      <c r="M30" s="2"/>
    </row>
    <row r="31" spans="2:17" s="1" customFormat="1" ht="9.9499999999999993">
      <c r="G31" s="2" t="s">
        <v>44</v>
      </c>
      <c r="H31" s="88">
        <v>0.9</v>
      </c>
      <c r="I31" s="88">
        <v>0.6</v>
      </c>
      <c r="J31" s="88">
        <v>0.5</v>
      </c>
      <c r="K31" s="88">
        <v>0.5</v>
      </c>
      <c r="L31" s="88">
        <v>0.5</v>
      </c>
      <c r="M31" s="88">
        <v>0.5</v>
      </c>
    </row>
    <row r="32" spans="2:17" s="1" customFormat="1" ht="9.9499999999999993">
      <c r="G32" s="2" t="s">
        <v>45</v>
      </c>
      <c r="H32" s="88">
        <v>0.4</v>
      </c>
      <c r="I32" s="88">
        <v>0.5</v>
      </c>
      <c r="J32" s="88">
        <v>0.6</v>
      </c>
      <c r="K32" s="88">
        <v>1.2</v>
      </c>
      <c r="L32" s="88">
        <v>0.6</v>
      </c>
      <c r="M32" s="88">
        <v>0.6</v>
      </c>
    </row>
    <row r="33" spans="7:13" s="1" customFormat="1" ht="9.9499999999999993">
      <c r="G33" s="2" t="s">
        <v>46</v>
      </c>
      <c r="H33" s="88">
        <v>11.7</v>
      </c>
      <c r="I33" s="88">
        <v>5.3</v>
      </c>
      <c r="J33" s="88">
        <v>4.5</v>
      </c>
      <c r="K33" s="88">
        <v>0.3</v>
      </c>
      <c r="L33" s="88">
        <v>0.3</v>
      </c>
      <c r="M33" s="88">
        <v>0.3</v>
      </c>
    </row>
    <row r="34" spans="7:13" s="1" customFormat="1" ht="9.9499999999999993">
      <c r="G34" s="2" t="s">
        <v>24</v>
      </c>
      <c r="H34" s="2">
        <v>13</v>
      </c>
      <c r="I34" s="2">
        <v>6.4</v>
      </c>
      <c r="J34" s="2">
        <v>5.6</v>
      </c>
      <c r="K34" s="2">
        <f>SUM(K31:K33)</f>
        <v>2</v>
      </c>
      <c r="L34" s="2">
        <f t="shared" ref="L34:M34" si="8">SUM(L31:L33)</f>
        <v>1.4000000000000001</v>
      </c>
      <c r="M34" s="2">
        <f t="shared" si="8"/>
        <v>1.4000000000000001</v>
      </c>
    </row>
    <row r="35" spans="7:13" s="1" customFormat="1" ht="9.9499999999999993">
      <c r="H35" s="2"/>
      <c r="I35" s="6"/>
      <c r="J35" s="2"/>
      <c r="K35" s="2"/>
      <c r="L35" s="2"/>
      <c r="M35" s="2"/>
    </row>
    <row r="36" spans="7:13" s="1" customFormat="1" ht="9.9499999999999993">
      <c r="H36" s="2"/>
      <c r="I36" s="6"/>
      <c r="J36" s="2"/>
      <c r="K36" s="2"/>
      <c r="L36" s="2"/>
      <c r="M36" s="2"/>
    </row>
    <row r="38" spans="7:13">
      <c r="G38"/>
      <c r="H38"/>
      <c r="I38"/>
      <c r="J38"/>
      <c r="K38"/>
      <c r="L38"/>
    </row>
    <row r="39" spans="7:13">
      <c r="G39"/>
      <c r="H39"/>
      <c r="I39"/>
      <c r="J39"/>
      <c r="K39"/>
      <c r="L39"/>
    </row>
    <row r="40" spans="7:13">
      <c r="G40"/>
      <c r="H40"/>
      <c r="I40"/>
      <c r="J40"/>
      <c r="K40"/>
      <c r="L40"/>
    </row>
    <row r="41" spans="7:13">
      <c r="G41"/>
      <c r="H41"/>
      <c r="I41"/>
      <c r="J41"/>
      <c r="K41"/>
      <c r="L41"/>
    </row>
    <row r="42" spans="7:13">
      <c r="G42"/>
      <c r="H42"/>
      <c r="I42"/>
      <c r="J42"/>
      <c r="K42"/>
      <c r="L42"/>
    </row>
    <row r="43" spans="7:13">
      <c r="G43"/>
      <c r="H43"/>
      <c r="I43"/>
      <c r="J43"/>
      <c r="K43"/>
      <c r="L43"/>
    </row>
    <row r="44" spans="7:13">
      <c r="G44"/>
      <c r="H44"/>
      <c r="I44"/>
      <c r="J44"/>
      <c r="K44"/>
      <c r="L44"/>
    </row>
    <row r="45" spans="7:13">
      <c r="G45"/>
      <c r="H45"/>
      <c r="I45"/>
      <c r="J45"/>
      <c r="K45"/>
      <c r="L45"/>
    </row>
    <row r="46" spans="7:13">
      <c r="G46"/>
      <c r="H46"/>
      <c r="I46"/>
      <c r="J46"/>
      <c r="K46"/>
      <c r="L46"/>
    </row>
    <row r="47" spans="7:13">
      <c r="G47"/>
      <c r="H47"/>
      <c r="I47"/>
      <c r="J47"/>
      <c r="K47"/>
      <c r="L47"/>
    </row>
    <row r="48" spans="7:13">
      <c r="G48"/>
      <c r="H48"/>
      <c r="I48"/>
      <c r="J48"/>
      <c r="K48"/>
      <c r="L48"/>
    </row>
    <row r="49" customFormat="1"/>
    <row r="50" customFormat="1"/>
    <row r="51" customFormat="1"/>
    <row r="52" customFormat="1"/>
    <row r="53" customFormat="1"/>
    <row r="54" customFormat="1"/>
    <row r="55" customFormat="1"/>
    <row r="56" customFormat="1"/>
    <row r="57" customFormat="1"/>
  </sheetData>
  <mergeCells count="1">
    <mergeCell ref="B4:G4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/>
    <pageSetUpPr fitToPage="1"/>
  </sheetPr>
  <dimension ref="A1:M12"/>
  <sheetViews>
    <sheetView showGridLines="0" zoomScale="104" zoomScaleNormal="200" zoomScaleSheetLayoutView="130" workbookViewId="0">
      <selection activeCell="H9" sqref="H9"/>
    </sheetView>
  </sheetViews>
  <sheetFormatPr defaultColWidth="9.42578125" defaultRowHeight="12.6"/>
  <cols>
    <col min="1" max="5" width="2.5703125" customWidth="1"/>
    <col min="6" max="6" width="27.5703125" customWidth="1"/>
    <col min="7" max="8" width="12" customWidth="1"/>
    <col min="9" max="12" width="9" customWidth="1"/>
  </cols>
  <sheetData>
    <row r="1" spans="1:13">
      <c r="A1" s="85" t="s">
        <v>2</v>
      </c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</row>
    <row r="2" spans="1:13" s="1" customFormat="1" ht="10.5">
      <c r="B2" s="19" t="s">
        <v>47</v>
      </c>
    </row>
    <row r="3" spans="1:13" s="1" customFormat="1" ht="11.1" thickBot="1">
      <c r="B3" s="19"/>
      <c r="H3" s="50" t="s">
        <v>4</v>
      </c>
      <c r="I3" s="51"/>
      <c r="J3" s="51"/>
      <c r="K3" s="52" t="s">
        <v>5</v>
      </c>
      <c r="L3" s="53"/>
      <c r="M3" s="54"/>
    </row>
    <row r="4" spans="1:13" s="62" customFormat="1" ht="24.75" customHeight="1">
      <c r="B4" s="186" t="s">
        <v>6</v>
      </c>
      <c r="C4" s="187"/>
      <c r="D4" s="187"/>
      <c r="E4" s="187"/>
      <c r="F4" s="187"/>
      <c r="G4" s="188"/>
      <c r="H4" s="55">
        <f>Profit_Loss!H4</f>
        <v>44561</v>
      </c>
      <c r="I4" s="55">
        <f>Profit_Loss!I4</f>
        <v>44926</v>
      </c>
      <c r="J4" s="55">
        <f>Profit_Loss!J4</f>
        <v>45291</v>
      </c>
      <c r="K4" s="56">
        <f>Profit_Loss!K4</f>
        <v>45657</v>
      </c>
      <c r="L4" s="56">
        <f>Profit_Loss!L4</f>
        <v>46022</v>
      </c>
      <c r="M4" s="56">
        <f>Profit_Loss!M4</f>
        <v>46387</v>
      </c>
    </row>
    <row r="5" spans="1:13" s="62" customFormat="1" ht="17.25" customHeight="1">
      <c r="B5" s="3"/>
      <c r="C5" s="63" t="s">
        <v>27</v>
      </c>
      <c r="D5" s="29"/>
      <c r="E5" s="29"/>
      <c r="F5" s="29"/>
      <c r="G5" s="63"/>
      <c r="H5" s="64">
        <f>Balance_Sheet!H11+Balance_Sheet!H12</f>
        <v>73.100000000000009</v>
      </c>
      <c r="I5" s="64">
        <f>Balance_Sheet!I11+Balance_Sheet!I12</f>
        <v>61.5</v>
      </c>
      <c r="J5" s="64">
        <f>Balance_Sheet!J11+Balance_Sheet!J12</f>
        <v>78.099999999999994</v>
      </c>
      <c r="K5" s="64">
        <f>Balance_Sheet!K11+Balance_Sheet!K12</f>
        <v>68.100000000000009</v>
      </c>
      <c r="L5" s="64">
        <f>Balance_Sheet!L11+Balance_Sheet!L12</f>
        <v>67.599999999999994</v>
      </c>
      <c r="M5" s="64">
        <f>Balance_Sheet!M11+Balance_Sheet!M12</f>
        <v>69.2</v>
      </c>
    </row>
    <row r="6" spans="1:13" s="62" customFormat="1" ht="17.25" customHeight="1">
      <c r="B6" s="3"/>
      <c r="C6" s="63" t="s">
        <v>26</v>
      </c>
      <c r="D6" s="63"/>
      <c r="E6" s="63"/>
      <c r="F6" s="63"/>
      <c r="G6" s="63"/>
      <c r="H6" s="64">
        <f>Balance_Sheet!H10</f>
        <v>36.1</v>
      </c>
      <c r="I6" s="64">
        <f>Balance_Sheet!I10</f>
        <v>48.2</v>
      </c>
      <c r="J6" s="64">
        <f>Balance_Sheet!J10</f>
        <v>36.200000000000003</v>
      </c>
      <c r="K6" s="64">
        <f>Balance_Sheet!K10</f>
        <v>50.5</v>
      </c>
      <c r="L6" s="64">
        <f>Balance_Sheet!L10</f>
        <v>46.8</v>
      </c>
      <c r="M6" s="64">
        <f>Balance_Sheet!M10</f>
        <v>50.5</v>
      </c>
    </row>
    <row r="7" spans="1:13" s="62" customFormat="1" ht="17.25" customHeight="1">
      <c r="B7" s="3"/>
      <c r="C7" s="63" t="s">
        <v>40</v>
      </c>
      <c r="D7" s="63"/>
      <c r="E7" s="63"/>
      <c r="F7" s="63"/>
      <c r="G7" s="63"/>
      <c r="H7" s="64">
        <f>Balance_Sheet!H24</f>
        <v>44.2</v>
      </c>
      <c r="I7" s="64">
        <f>Balance_Sheet!I24</f>
        <v>42.2</v>
      </c>
      <c r="J7" s="64">
        <f>Balance_Sheet!J24</f>
        <v>37.700000000000003</v>
      </c>
      <c r="K7" s="64">
        <f>Balance_Sheet!K24</f>
        <v>40.700000000000003</v>
      </c>
      <c r="L7" s="64">
        <f>Balance_Sheet!L24</f>
        <v>40.9</v>
      </c>
      <c r="M7" s="64">
        <f>Balance_Sheet!M24</f>
        <v>42.6</v>
      </c>
    </row>
    <row r="8" spans="1:13" s="62" customFormat="1" ht="17.25" customHeight="1">
      <c r="B8" s="4"/>
      <c r="C8" s="27" t="s">
        <v>48</v>
      </c>
      <c r="D8" s="27"/>
      <c r="E8" s="27"/>
      <c r="F8" s="27"/>
      <c r="G8" s="27"/>
      <c r="H8" s="58">
        <f>H5+H6-H7</f>
        <v>65.000000000000014</v>
      </c>
      <c r="I8" s="58">
        <f t="shared" ref="I8:M8" si="0">I5+I6-I7</f>
        <v>67.5</v>
      </c>
      <c r="J8" s="58">
        <f t="shared" si="0"/>
        <v>76.599999999999994</v>
      </c>
      <c r="K8" s="58">
        <f t="shared" si="0"/>
        <v>77.900000000000006</v>
      </c>
      <c r="L8" s="58">
        <f t="shared" si="0"/>
        <v>73.5</v>
      </c>
      <c r="M8" s="58">
        <f t="shared" si="0"/>
        <v>77.099999999999994</v>
      </c>
    </row>
    <row r="9" spans="1:13" s="62" customFormat="1" ht="17.25" customHeight="1">
      <c r="B9" s="3"/>
      <c r="C9" s="63" t="s">
        <v>41</v>
      </c>
      <c r="D9" s="28"/>
      <c r="E9" s="29"/>
      <c r="F9" s="29"/>
      <c r="G9" s="63"/>
      <c r="H9" s="64">
        <f>Balance_Sheet!H25</f>
        <v>25.6</v>
      </c>
      <c r="I9" s="64">
        <f>Balance_Sheet!I25</f>
        <v>41.4</v>
      </c>
      <c r="J9" s="64">
        <f>Balance_Sheet!J25</f>
        <v>39.299999999999997</v>
      </c>
      <c r="K9" s="64">
        <f>Balance_Sheet!K25</f>
        <v>35.4</v>
      </c>
      <c r="L9" s="64">
        <f>Balance_Sheet!L25</f>
        <v>39.799999999999997</v>
      </c>
      <c r="M9" s="64">
        <f>Balance_Sheet!M25</f>
        <v>43.8</v>
      </c>
    </row>
    <row r="10" spans="1:13" s="62" customFormat="1" ht="17.25" customHeight="1">
      <c r="B10" s="4"/>
      <c r="C10" s="27" t="s">
        <v>47</v>
      </c>
      <c r="D10" s="27"/>
      <c r="E10" s="27"/>
      <c r="F10" s="27"/>
      <c r="G10" s="27"/>
      <c r="H10" s="58">
        <f>H8-H9</f>
        <v>39.400000000000013</v>
      </c>
      <c r="I10" s="58">
        <f t="shared" ref="I10:M10" si="1">I8-I9</f>
        <v>26.1</v>
      </c>
      <c r="J10" s="58">
        <f t="shared" si="1"/>
        <v>37.299999999999997</v>
      </c>
      <c r="K10" s="58">
        <f t="shared" si="1"/>
        <v>42.500000000000007</v>
      </c>
      <c r="L10" s="58">
        <f>L8-L9</f>
        <v>33.700000000000003</v>
      </c>
      <c r="M10" s="58">
        <f>M8-M9</f>
        <v>33.299999999999997</v>
      </c>
    </row>
    <row r="11" spans="1:13" s="62" customFormat="1" ht="17.25" customHeight="1">
      <c r="B11" s="3"/>
      <c r="C11" s="28" t="s">
        <v>49</v>
      </c>
      <c r="D11" s="29"/>
      <c r="E11" s="29"/>
      <c r="F11" s="29"/>
      <c r="G11" s="63"/>
      <c r="H11" s="61">
        <f>H10/Profit_Loss!H5</f>
        <v>0.13401360544217691</v>
      </c>
      <c r="I11" s="61">
        <f>I10/Profit_Loss!I5</f>
        <v>8.7819650067294766E-2</v>
      </c>
      <c r="J11" s="61">
        <f>J10/Profit_Loss!J5</f>
        <v>0.11519456454601605</v>
      </c>
      <c r="K11" s="61">
        <f>K10/Profit_Loss!K5</f>
        <v>0.11061946902654869</v>
      </c>
      <c r="L11" s="61">
        <f>L10/Profit_Loss!L5</f>
        <v>8.4758551307847083E-2</v>
      </c>
      <c r="M11" s="61">
        <f>M10/Profit_Loss!M5</f>
        <v>8.0144404332129951E-2</v>
      </c>
    </row>
    <row r="12" spans="1:13" s="1" customFormat="1" ht="9.9499999999999993"/>
  </sheetData>
  <mergeCells count="1">
    <mergeCell ref="B4:G4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P49"/>
  <sheetViews>
    <sheetView showGridLines="0" zoomScale="96" zoomScaleNormal="190" zoomScaleSheetLayoutView="130" workbookViewId="0"/>
  </sheetViews>
  <sheetFormatPr defaultColWidth="9.42578125" defaultRowHeight="12.6"/>
  <cols>
    <col min="1" max="2" width="2.5703125" customWidth="1"/>
    <col min="3" max="3" width="12.140625" customWidth="1"/>
    <col min="4" max="4" width="8.42578125" customWidth="1"/>
    <col min="5" max="5" width="8.140625" customWidth="1"/>
    <col min="6" max="6" width="9.42578125" bestFit="1" customWidth="1"/>
    <col min="7" max="10" width="12" customWidth="1"/>
    <col min="11" max="15" width="11.85546875" customWidth="1"/>
    <col min="16" max="16" width="10" bestFit="1" customWidth="1"/>
  </cols>
  <sheetData>
    <row r="1" spans="1:16" s="126" customFormat="1" ht="12.95">
      <c r="A1" s="124" t="s">
        <v>2</v>
      </c>
      <c r="B1" s="124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</row>
    <row r="2" spans="1:16" ht="13.5" thickBot="1">
      <c r="B2" s="126" t="s">
        <v>50</v>
      </c>
    </row>
    <row r="3" spans="1:16" ht="13.5" thickBot="1">
      <c r="B3" s="126"/>
      <c r="H3" s="127" t="s">
        <v>4</v>
      </c>
      <c r="I3" s="128"/>
      <c r="J3" s="128"/>
      <c r="K3" s="129" t="s">
        <v>5</v>
      </c>
      <c r="L3" s="130"/>
      <c r="M3" s="131"/>
      <c r="N3" s="132" t="s">
        <v>51</v>
      </c>
    </row>
    <row r="4" spans="1:16" s="133" customFormat="1" ht="24.75" customHeight="1">
      <c r="B4" s="192" t="s">
        <v>6</v>
      </c>
      <c r="C4" s="187" t="s">
        <v>6</v>
      </c>
      <c r="D4" s="187"/>
      <c r="E4" s="187"/>
      <c r="F4" s="187"/>
      <c r="G4" s="188"/>
      <c r="H4" s="134">
        <f>Profit_Loss!H4</f>
        <v>44561</v>
      </c>
      <c r="I4" s="134">
        <f>Profit_Loss!I4</f>
        <v>44926</v>
      </c>
      <c r="J4" s="134">
        <f>Profit_Loss!J4</f>
        <v>45291</v>
      </c>
      <c r="K4" s="135">
        <f>Profit_Loss!K4</f>
        <v>45657</v>
      </c>
      <c r="L4" s="135">
        <f>Profit_Loss!L4</f>
        <v>46022</v>
      </c>
      <c r="M4" s="135">
        <f>Profit_Loss!M4</f>
        <v>46387</v>
      </c>
      <c r="N4" s="135">
        <f>+EDATE(M4,12)</f>
        <v>46752</v>
      </c>
    </row>
    <row r="5" spans="1:16" s="133" customFormat="1" ht="17.25" customHeight="1">
      <c r="B5" s="60"/>
      <c r="C5" s="136" t="s">
        <v>16</v>
      </c>
      <c r="D5" s="136"/>
      <c r="E5" s="136"/>
      <c r="F5" s="136"/>
      <c r="G5" s="136"/>
      <c r="H5" s="137">
        <f>Calcs!C14</f>
        <v>-3.3999999999999941</v>
      </c>
      <c r="I5" s="137">
        <f>Calcs!D14</f>
        <v>8.3999999999999879</v>
      </c>
      <c r="J5" s="137">
        <f>Calcs!E14</f>
        <v>10.600000000000017</v>
      </c>
      <c r="K5" s="137">
        <f>Calcs!F14</f>
        <v>15.199999999999978</v>
      </c>
      <c r="L5" s="137">
        <f>Calcs!G14</f>
        <v>19.700000000000035</v>
      </c>
      <c r="M5" s="137">
        <f>Calcs!H14</f>
        <v>25.600000000000005</v>
      </c>
      <c r="N5" s="137">
        <f>Calcs!I14</f>
        <v>21.555717179181286</v>
      </c>
    </row>
    <row r="6" spans="1:16" s="133" customFormat="1" ht="17.25" customHeight="1">
      <c r="B6" s="60"/>
      <c r="C6" s="138" t="s">
        <v>52</v>
      </c>
      <c r="D6" s="139"/>
      <c r="E6" s="139"/>
      <c r="F6" s="139"/>
      <c r="G6" s="140"/>
      <c r="H6" s="137">
        <f>H5*WACC!$E$15</f>
        <v>-1.0199999999999982</v>
      </c>
      <c r="I6" s="137">
        <f>I5*WACC!$E$15</f>
        <v>2.5199999999999965</v>
      </c>
      <c r="J6" s="137">
        <f>J5*WACC!$E$15</f>
        <v>3.180000000000005</v>
      </c>
      <c r="K6" s="137">
        <f>K5*WACC!$E$15</f>
        <v>4.5599999999999934</v>
      </c>
      <c r="L6" s="137">
        <f>L5*WACC!$E$15</f>
        <v>5.9100000000000099</v>
      </c>
      <c r="M6" s="137">
        <f>M5*WACC!$E$15</f>
        <v>7.6800000000000015</v>
      </c>
      <c r="N6" s="137">
        <f>N5*WACC!$E$15</f>
        <v>6.4667151537543859</v>
      </c>
    </row>
    <row r="7" spans="1:16" s="133" customFormat="1" ht="17.25" customHeight="1">
      <c r="B7" s="141"/>
      <c r="C7" s="141" t="s">
        <v>53</v>
      </c>
      <c r="D7" s="141"/>
      <c r="E7" s="141"/>
      <c r="F7" s="141"/>
      <c r="G7" s="141"/>
      <c r="H7" s="142">
        <f>H5-H6</f>
        <v>-2.3799999999999959</v>
      </c>
      <c r="I7" s="142">
        <f>I5-I6</f>
        <v>5.8799999999999919</v>
      </c>
      <c r="J7" s="142">
        <f>J5-J6</f>
        <v>7.4200000000000124</v>
      </c>
      <c r="K7" s="142">
        <f>K5-K6</f>
        <v>10.639999999999985</v>
      </c>
      <c r="L7" s="142">
        <f>L5-L6</f>
        <v>13.790000000000024</v>
      </c>
      <c r="M7" s="142">
        <f>M5-M6</f>
        <v>17.920000000000002</v>
      </c>
      <c r="N7" s="143">
        <f>N5-N6</f>
        <v>15.0890020254269</v>
      </c>
    </row>
    <row r="8" spans="1:16" s="133" customFormat="1" ht="17.25" customHeight="1">
      <c r="B8" s="60"/>
      <c r="C8" s="138" t="s">
        <v>15</v>
      </c>
      <c r="D8" s="144"/>
      <c r="E8" s="139"/>
      <c r="F8" s="139"/>
      <c r="G8" s="140"/>
      <c r="H8" s="137">
        <f>-Calcs!C12</f>
        <v>6.3</v>
      </c>
      <c r="I8" s="137">
        <f>-Calcs!D12</f>
        <v>6.8</v>
      </c>
      <c r="J8" s="137">
        <f>-Calcs!E12</f>
        <v>7.6</v>
      </c>
      <c r="K8" s="137">
        <f>-Calcs!F12</f>
        <v>7.7</v>
      </c>
      <c r="L8" s="137">
        <f>-Calcs!G12</f>
        <v>7.7</v>
      </c>
      <c r="M8" s="137">
        <f>-Calcs!H12</f>
        <v>7.8</v>
      </c>
      <c r="N8" s="137">
        <f>-Calcs!I12</f>
        <v>7.9559999999999995</v>
      </c>
    </row>
    <row r="9" spans="1:16" s="133" customFormat="1" ht="17.25" customHeight="1">
      <c r="B9" s="60"/>
      <c r="C9" s="138" t="s">
        <v>54</v>
      </c>
      <c r="D9" s="144"/>
      <c r="E9" s="139"/>
      <c r="F9" s="139"/>
      <c r="G9" s="140"/>
      <c r="H9" s="137">
        <f>Calcs!C21</f>
        <v>0</v>
      </c>
      <c r="I9" s="137">
        <f>Calcs!D21</f>
        <v>-7.1</v>
      </c>
      <c r="J9" s="137">
        <f>Calcs!E21</f>
        <v>-7</v>
      </c>
      <c r="K9" s="137">
        <f>Calcs!F21</f>
        <v>-9</v>
      </c>
      <c r="L9" s="137">
        <f>Calcs!G21</f>
        <v>-8.4</v>
      </c>
      <c r="M9" s="137">
        <f>Calcs!H21</f>
        <v>-8.6</v>
      </c>
      <c r="N9" s="137">
        <f>Calcs!I21</f>
        <v>-8.7720000000000002</v>
      </c>
    </row>
    <row r="10" spans="1:16" s="133" customFormat="1" ht="17.25" customHeight="1">
      <c r="B10" s="60"/>
      <c r="C10" s="138" t="s">
        <v>55</v>
      </c>
      <c r="D10" s="144"/>
      <c r="E10" s="139"/>
      <c r="F10" s="139"/>
      <c r="G10" s="140"/>
      <c r="H10" s="137">
        <f>-Calcs!C18</f>
        <v>0</v>
      </c>
      <c r="I10" s="137">
        <f>-Calcs!D18</f>
        <v>-13.300000000000011</v>
      </c>
      <c r="J10" s="137">
        <f>-Calcs!E18</f>
        <v>11.199999999999996</v>
      </c>
      <c r="K10" s="137">
        <f>-Calcs!F18</f>
        <v>5.2000000000000099</v>
      </c>
      <c r="L10" s="137">
        <f>-Calcs!G18</f>
        <v>-8.8000000000000043</v>
      </c>
      <c r="M10" s="137">
        <f>-Calcs!H18</f>
        <v>-0.40000000000000568</v>
      </c>
      <c r="N10" s="137">
        <f>-Calcs!I18</f>
        <v>0.66599999999999682</v>
      </c>
    </row>
    <row r="11" spans="1:16" s="133" customFormat="1" ht="17.25" customHeight="1">
      <c r="B11" s="66"/>
      <c r="C11" s="141" t="s">
        <v>56</v>
      </c>
      <c r="D11" s="141"/>
      <c r="E11" s="141"/>
      <c r="F11" s="141"/>
      <c r="G11" s="141"/>
      <c r="H11" s="145">
        <f>H7+H8+H9-H10</f>
        <v>3.9200000000000039</v>
      </c>
      <c r="I11" s="145">
        <f t="shared" ref="I11:M11" si="0">I7+I8+I9-I10</f>
        <v>18.880000000000003</v>
      </c>
      <c r="J11" s="145">
        <f t="shared" si="0"/>
        <v>-3.1799999999999837</v>
      </c>
      <c r="K11" s="145">
        <f>K7+K8+K9-K10</f>
        <v>4.1399999999999757</v>
      </c>
      <c r="L11" s="145">
        <f t="shared" si="0"/>
        <v>21.890000000000029</v>
      </c>
      <c r="M11" s="145">
        <f t="shared" si="0"/>
        <v>17.52000000000001</v>
      </c>
      <c r="N11" s="145">
        <f>N7+N8+N9-N10</f>
        <v>13.607002025426903</v>
      </c>
      <c r="O11" s="145">
        <f>N11*(1+Calcs!I7)</f>
        <v>13.879142065935442</v>
      </c>
      <c r="P11" s="133" t="s">
        <v>57</v>
      </c>
    </row>
    <row r="13" spans="1:16">
      <c r="I13" s="146"/>
      <c r="J13" s="146"/>
      <c r="K13" s="147">
        <v>1</v>
      </c>
      <c r="L13" s="147">
        <v>2</v>
      </c>
      <c r="M13" s="147">
        <v>3</v>
      </c>
      <c r="N13">
        <v>4</v>
      </c>
    </row>
    <row r="14" spans="1:16" ht="12.95">
      <c r="C14" s="148" t="s">
        <v>58</v>
      </c>
      <c r="K14" s="149">
        <f>1/(1+$D$22)^K13</f>
        <v>0.92149711579126115</v>
      </c>
      <c r="L14" s="149">
        <f t="shared" ref="L14:N14" si="1">1/(1+$D$22)^L13</f>
        <v>0.849156934411613</v>
      </c>
      <c r="M14" s="149">
        <f t="shared" si="1"/>
        <v>0.78249566591445052</v>
      </c>
      <c r="N14" s="149">
        <f t="shared" si="1"/>
        <v>0.72106749925932834</v>
      </c>
      <c r="O14" s="149"/>
    </row>
    <row r="15" spans="1:16" ht="12.95">
      <c r="C15" s="148" t="s">
        <v>59</v>
      </c>
      <c r="K15" s="150">
        <f>K11*K14</f>
        <v>3.8149980593757986</v>
      </c>
      <c r="L15" s="150">
        <f t="shared" ref="L15:M15" si="2">L11*L14</f>
        <v>18.588045294270234</v>
      </c>
      <c r="M15" s="150">
        <f t="shared" si="2"/>
        <v>13.709324066821182</v>
      </c>
      <c r="N15" s="150">
        <f>N11*N14</f>
        <v>9.8115669228911919</v>
      </c>
    </row>
    <row r="16" spans="1:16" ht="12.95">
      <c r="C16" s="148" t="s">
        <v>60</v>
      </c>
      <c r="N16" s="149">
        <f>O11/(D22-D23)</f>
        <v>212.90099969159948</v>
      </c>
    </row>
    <row r="17" spans="3:16" ht="12.95">
      <c r="C17" s="148" t="s">
        <v>61</v>
      </c>
      <c r="N17" s="150">
        <f>N14*N16</f>
        <v>153.51599143743266</v>
      </c>
    </row>
    <row r="18" spans="3:16" ht="12.95">
      <c r="C18" s="151" t="s">
        <v>62</v>
      </c>
      <c r="M18" t="s">
        <v>63</v>
      </c>
      <c r="N18" s="152">
        <f>+SUM(K15:N15)+N17</f>
        <v>199.43992578079107</v>
      </c>
      <c r="O18" s="153">
        <f>N18*0.95</f>
        <v>189.46792949175151</v>
      </c>
      <c r="P18" s="153">
        <f>N18*1.05</f>
        <v>209.41192206983064</v>
      </c>
    </row>
    <row r="19" spans="3:16" ht="12.95">
      <c r="C19" s="151" t="s">
        <v>64</v>
      </c>
      <c r="M19" t="s">
        <v>63</v>
      </c>
      <c r="N19" s="152">
        <f>N18-G20</f>
        <v>237.63992578079109</v>
      </c>
      <c r="O19" s="153">
        <f>N19*0.95</f>
        <v>225.75792949175153</v>
      </c>
      <c r="P19" s="153">
        <f>N19*1.05</f>
        <v>249.52192206983065</v>
      </c>
    </row>
    <row r="20" spans="3:16" ht="12.95">
      <c r="C20" s="154" t="s">
        <v>65</v>
      </c>
      <c r="E20" s="155"/>
      <c r="G20" s="155">
        <v>-38.200000000000003</v>
      </c>
      <c r="H20" s="156"/>
      <c r="I20" s="155"/>
    </row>
    <row r="22" spans="3:16">
      <c r="C22" t="s">
        <v>66</v>
      </c>
      <c r="D22" s="146">
        <f>WACC!E16</f>
        <v>8.5190591336068197E-2</v>
      </c>
    </row>
    <row r="23" spans="3:16">
      <c r="C23" t="s">
        <v>67</v>
      </c>
      <c r="D23" s="166">
        <v>0.02</v>
      </c>
    </row>
    <row r="24" spans="3:16">
      <c r="C24" t="s">
        <v>68</v>
      </c>
      <c r="D24">
        <f>Calcs!I11</f>
        <v>6.9634310608955155E-2</v>
      </c>
    </row>
    <row r="26" spans="3:16" ht="12.95">
      <c r="C26" s="157" t="s">
        <v>69</v>
      </c>
    </row>
    <row r="27" spans="3:16">
      <c r="C27" s="193" t="s">
        <v>69</v>
      </c>
      <c r="D27" s="193"/>
      <c r="E27" s="193"/>
      <c r="F27" s="193"/>
      <c r="G27" s="193"/>
      <c r="H27" s="193"/>
      <c r="I27" s="193"/>
      <c r="J27" s="193"/>
      <c r="K27" s="193"/>
    </row>
    <row r="28" spans="3:16">
      <c r="C28" s="194"/>
      <c r="D28" s="194"/>
      <c r="E28" s="194"/>
      <c r="F28" s="194"/>
      <c r="G28" s="194"/>
      <c r="H28" s="194"/>
      <c r="I28" s="194"/>
      <c r="J28" s="194"/>
      <c r="K28" s="194"/>
      <c r="M28" s="109"/>
    </row>
    <row r="29" spans="3:16">
      <c r="C29" s="195"/>
      <c r="D29" s="195"/>
      <c r="E29" s="195"/>
      <c r="F29" s="195"/>
      <c r="G29" s="195"/>
      <c r="H29" s="195"/>
      <c r="I29" s="195"/>
      <c r="J29" s="195"/>
      <c r="K29" s="195"/>
      <c r="M29" s="109"/>
    </row>
    <row r="30" spans="3:16" ht="12.95">
      <c r="C30" s="158" t="s">
        <v>70</v>
      </c>
      <c r="D30" s="159" t="s">
        <v>70</v>
      </c>
      <c r="E30" s="189" t="s">
        <v>71</v>
      </c>
      <c r="F30" s="189"/>
      <c r="G30" s="189"/>
      <c r="H30" s="189"/>
      <c r="I30" s="189"/>
      <c r="J30" s="189"/>
      <c r="K30" s="189"/>
      <c r="M30" s="109"/>
    </row>
    <row r="31" spans="3:16" ht="12.75" customHeight="1">
      <c r="C31" s="160" t="s">
        <v>70</v>
      </c>
      <c r="D31" s="161">
        <f>N18</f>
        <v>199.43992578079107</v>
      </c>
      <c r="E31" s="176">
        <f>F31-0.005</f>
        <v>4.9999999999999984E-3</v>
      </c>
      <c r="F31" s="176">
        <f>G31-0.005</f>
        <v>9.9999999999999985E-3</v>
      </c>
      <c r="G31" s="176">
        <f>H31-0.005</f>
        <v>1.4999999999999999E-2</v>
      </c>
      <c r="H31" s="177">
        <v>0.02</v>
      </c>
      <c r="I31" s="176">
        <f>H31+0.005</f>
        <v>2.5000000000000001E-2</v>
      </c>
      <c r="J31" s="176">
        <f>I31+0.005</f>
        <v>3.0000000000000002E-2</v>
      </c>
      <c r="K31" s="176">
        <f>J31+0.005</f>
        <v>3.5000000000000003E-2</v>
      </c>
    </row>
    <row r="32" spans="3:16" ht="12.95">
      <c r="C32" s="190" t="s">
        <v>72</v>
      </c>
      <c r="D32" s="162">
        <f>D33-0.005</f>
        <v>5.4599999999999996E-2</v>
      </c>
      <c r="E32" s="163">
        <v>128.83251229920484</v>
      </c>
      <c r="F32" s="173">
        <v>133.76603968706019</v>
      </c>
      <c r="G32" s="173">
        <v>139.40244295812812</v>
      </c>
      <c r="H32" s="173">
        <v>145.90345002485913</v>
      </c>
      <c r="I32" s="173">
        <v>153.48452740198675</v>
      </c>
      <c r="J32" s="173">
        <v>162.43922249068495</v>
      </c>
      <c r="K32" s="173">
        <v>173.17805577148766</v>
      </c>
    </row>
    <row r="33" spans="3:11" ht="12.95" customHeight="1">
      <c r="C33" s="190"/>
      <c r="D33" s="162">
        <f>D34-0.005</f>
        <v>5.9599999999999993E-2</v>
      </c>
      <c r="E33" s="163">
        <v>143.09396148810094</v>
      </c>
      <c r="F33" s="173">
        <v>149.05151284208151</v>
      </c>
      <c r="G33" s="173">
        <v>155.85783199251159</v>
      </c>
      <c r="H33" s="173">
        <v>163.70821578646408</v>
      </c>
      <c r="I33" s="173">
        <v>172.86285388656228</v>
      </c>
      <c r="J33" s="173">
        <v>183.6762236433577</v>
      </c>
      <c r="K33" s="173">
        <v>196.64405491753035</v>
      </c>
    </row>
    <row r="34" spans="3:11" ht="12.95" customHeight="1">
      <c r="C34" s="190"/>
      <c r="D34" s="162">
        <f>D35-0.005</f>
        <v>6.4599999999999991E-2</v>
      </c>
      <c r="E34" s="163">
        <v>157.35541067699705</v>
      </c>
      <c r="F34" s="173">
        <v>164.33698599710283</v>
      </c>
      <c r="G34" s="173">
        <v>172.31322102689512</v>
      </c>
      <c r="H34" s="173">
        <v>181.51298154806906</v>
      </c>
      <c r="I34" s="173">
        <v>192.24118037113774</v>
      </c>
      <c r="J34" s="173">
        <v>204.91322479603048</v>
      </c>
      <c r="K34" s="173">
        <v>220.11005406357299</v>
      </c>
    </row>
    <row r="35" spans="3:11" ht="12.95" customHeight="1">
      <c r="C35" s="190"/>
      <c r="D35" s="164">
        <v>6.9599999999999995E-2</v>
      </c>
      <c r="E35" s="163">
        <v>171.61685986589322</v>
      </c>
      <c r="F35" s="173">
        <v>179.62245915212418</v>
      </c>
      <c r="G35" s="173">
        <v>188.76861006127859</v>
      </c>
      <c r="H35" s="174">
        <v>199.3177473096741</v>
      </c>
      <c r="I35" s="173">
        <v>211.61950685571327</v>
      </c>
      <c r="J35" s="173">
        <v>226.15022594870328</v>
      </c>
      <c r="K35" s="173">
        <v>243.57605320961559</v>
      </c>
    </row>
    <row r="36" spans="3:11" ht="12.95" customHeight="1">
      <c r="C36" s="190"/>
      <c r="D36" s="162">
        <f>D35+0.005</f>
        <v>7.46E-2</v>
      </c>
      <c r="E36" s="163">
        <v>185.8783090547893</v>
      </c>
      <c r="F36" s="173">
        <v>194.90793230714553</v>
      </c>
      <c r="G36" s="173">
        <v>205.22399909566215</v>
      </c>
      <c r="H36" s="173">
        <v>217.12251307127923</v>
      </c>
      <c r="I36" s="173">
        <v>230.99783334028882</v>
      </c>
      <c r="J36" s="173">
        <v>247.387227101376</v>
      </c>
      <c r="K36" s="173">
        <v>267.04205235565831</v>
      </c>
    </row>
    <row r="37" spans="3:11" ht="12.95" customHeight="1">
      <c r="C37" s="190"/>
      <c r="D37" s="162">
        <f>D36+0.005</f>
        <v>7.9600000000000004E-2</v>
      </c>
      <c r="E37" s="163">
        <v>200.13975824368543</v>
      </c>
      <c r="F37" s="173">
        <v>210.19340546216688</v>
      </c>
      <c r="G37" s="173">
        <v>221.67938813004568</v>
      </c>
      <c r="H37" s="173">
        <v>234.92727883288418</v>
      </c>
      <c r="I37" s="173">
        <v>250.37615982486443</v>
      </c>
      <c r="J37" s="173">
        <v>268.62422825404883</v>
      </c>
      <c r="K37" s="173">
        <v>290.50805150170095</v>
      </c>
    </row>
    <row r="38" spans="3:11" ht="12.95" customHeight="1">
      <c r="C38" s="191"/>
      <c r="D38" s="162">
        <f>D37+0.005</f>
        <v>8.4600000000000009E-2</v>
      </c>
      <c r="E38" s="165">
        <v>214.4012074325816</v>
      </c>
      <c r="F38" s="175">
        <v>225.47887861718823</v>
      </c>
      <c r="G38" s="175">
        <v>238.13477716442924</v>
      </c>
      <c r="H38" s="175">
        <v>252.73204459448914</v>
      </c>
      <c r="I38" s="175">
        <v>269.75448630943993</v>
      </c>
      <c r="J38" s="175">
        <v>289.86122940672158</v>
      </c>
      <c r="K38" s="175">
        <v>313.97405064774375</v>
      </c>
    </row>
    <row r="39" spans="3:11" ht="12.95" customHeight="1">
      <c r="C39" s="196" t="s">
        <v>70</v>
      </c>
      <c r="D39" s="196"/>
      <c r="E39" s="196"/>
      <c r="F39" s="196"/>
      <c r="G39" s="196"/>
      <c r="H39" s="196"/>
      <c r="I39" s="196"/>
      <c r="J39" s="196"/>
      <c r="K39" s="196"/>
    </row>
    <row r="40" spans="3:11" ht="12.95">
      <c r="C40" s="158" t="s">
        <v>70</v>
      </c>
      <c r="D40" s="159" t="s">
        <v>70</v>
      </c>
      <c r="E40" s="189" t="s">
        <v>73</v>
      </c>
      <c r="F40" s="189"/>
      <c r="G40" s="189"/>
      <c r="H40" s="189"/>
      <c r="I40" s="189"/>
      <c r="J40" s="189"/>
      <c r="K40" s="189"/>
    </row>
    <row r="41" spans="3:11" ht="12.75" customHeight="1">
      <c r="C41" s="160" t="s">
        <v>70</v>
      </c>
      <c r="D41" s="161">
        <f>N18</f>
        <v>199.43992578079107</v>
      </c>
      <c r="E41" s="178">
        <f>F41+0.005</f>
        <v>0.10020000000000001</v>
      </c>
      <c r="F41" s="178">
        <f>G41+0.005</f>
        <v>9.5200000000000007E-2</v>
      </c>
      <c r="G41" s="178">
        <f>H41+0.005</f>
        <v>9.0200000000000002E-2</v>
      </c>
      <c r="H41" s="179">
        <v>8.5199999999999998E-2</v>
      </c>
      <c r="I41" s="178">
        <f>H41-0.005</f>
        <v>8.0199999999999994E-2</v>
      </c>
      <c r="J41" s="178">
        <f>I41-0.005</f>
        <v>7.5199999999999989E-2</v>
      </c>
      <c r="K41" s="178">
        <f>J41-0.005</f>
        <v>7.0199999999999985E-2</v>
      </c>
    </row>
    <row r="42" spans="3:11" ht="12.95">
      <c r="C42" s="190" t="s">
        <v>74</v>
      </c>
      <c r="D42" s="162">
        <f>D43-0.005</f>
        <v>4.9999999999999984E-3</v>
      </c>
      <c r="E42" s="168">
        <f t="dataTable" ref="E42:K48" dt2D="1" dtr="1" r1="D22" r2="D23"/>
        <v>143.79382465374528</v>
      </c>
      <c r="F42" s="169">
        <v>151.77498250228086</v>
      </c>
      <c r="G42" s="169">
        <v>160.68708835074492</v>
      </c>
      <c r="H42" s="169">
        <v>170.70406910164698</v>
      </c>
      <c r="I42" s="169">
        <v>182.04610262112951</v>
      </c>
      <c r="J42" s="169">
        <v>194.99608865685994</v>
      </c>
      <c r="K42" s="169">
        <v>209.92369839007648</v>
      </c>
    </row>
    <row r="43" spans="3:11" ht="12.95" customHeight="1">
      <c r="C43" s="190"/>
      <c r="D43" s="162">
        <f>D44-0.005</f>
        <v>9.9999999999999985E-3</v>
      </c>
      <c r="E43" s="168">
        <v>149.30954929714977</v>
      </c>
      <c r="F43" s="169">
        <v>158.05141341486927</v>
      </c>
      <c r="G43" s="169">
        <v>167.8765099438327</v>
      </c>
      <c r="H43" s="169">
        <v>179.0006905766821</v>
      </c>
      <c r="I43" s="169">
        <v>191.70129610152776</v>
      </c>
      <c r="J43" s="169">
        <v>206.34073325114295</v>
      </c>
      <c r="K43" s="169">
        <v>223.40180080198763</v>
      </c>
    </row>
    <row r="44" spans="3:11" ht="12.95" customHeight="1">
      <c r="C44" s="190"/>
      <c r="D44" s="162">
        <f>D45-0.005</f>
        <v>1.4999999999999999E-2</v>
      </c>
      <c r="E44" s="168">
        <v>155.47265946208063</v>
      </c>
      <c r="F44" s="169">
        <v>165.11044169810461</v>
      </c>
      <c r="G44" s="169">
        <v>176.0219716423843</v>
      </c>
      <c r="H44" s="169">
        <v>188.47916696269095</v>
      </c>
      <c r="I44" s="169">
        <v>202.83734747769265</v>
      </c>
      <c r="J44" s="169">
        <v>219.56987030294806</v>
      </c>
      <c r="K44" s="169">
        <v>239.32158843344791</v>
      </c>
    </row>
    <row r="45" spans="3:11" ht="12.95" customHeight="1">
      <c r="C45" s="190"/>
      <c r="D45" s="164">
        <v>0.02</v>
      </c>
      <c r="E45" s="168">
        <v>162.4042372286238</v>
      </c>
      <c r="F45" s="169">
        <v>173.10817055091911</v>
      </c>
      <c r="G45" s="169">
        <v>185.32775552021675</v>
      </c>
      <c r="H45" s="170">
        <v>199.41139739563366</v>
      </c>
      <c r="I45" s="169">
        <v>215.82324127514738</v>
      </c>
      <c r="J45" s="169">
        <v>235.19559015399327</v>
      </c>
      <c r="K45" s="169">
        <v>258.4126485014541</v>
      </c>
    </row>
    <row r="46" spans="3:11" ht="12.95" customHeight="1">
      <c r="C46" s="190"/>
      <c r="D46" s="162">
        <f>D45+0.005</f>
        <v>2.5000000000000001E-2</v>
      </c>
      <c r="E46" s="168">
        <v>170.25756735773916</v>
      </c>
      <c r="F46" s="169">
        <v>182.24517701809464</v>
      </c>
      <c r="G46" s="169">
        <v>196.06080686397439</v>
      </c>
      <c r="H46" s="169">
        <v>212.15961295032761</v>
      </c>
      <c r="I46" s="169">
        <v>231.16165206489461</v>
      </c>
      <c r="J46" s="169">
        <v>253.93400320245777</v>
      </c>
      <c r="K46" s="169">
        <v>281.72739442521384</v>
      </c>
    </row>
    <row r="47" spans="3:11" ht="12.95" customHeight="1">
      <c r="C47" s="190"/>
      <c r="D47" s="162">
        <f>D46+0.005</f>
        <v>3.0000000000000002E-2</v>
      </c>
      <c r="E47" s="168">
        <v>179.22960548245504</v>
      </c>
      <c r="F47" s="169">
        <v>192.78356484526645</v>
      </c>
      <c r="G47" s="169">
        <v>208.57675710204396</v>
      </c>
      <c r="H47" s="169">
        <v>227.21728784464005</v>
      </c>
      <c r="I47" s="169">
        <v>249.55552317132455</v>
      </c>
      <c r="J47" s="169">
        <v>276.81808285456486</v>
      </c>
      <c r="K47" s="169">
        <v>310.8418283897098</v>
      </c>
    </row>
    <row r="48" spans="3:11" ht="12.95" customHeight="1">
      <c r="C48" s="191"/>
      <c r="D48" s="162">
        <f>D47+0.005</f>
        <v>3.5000000000000003E-2</v>
      </c>
      <c r="E48" s="171">
        <v>189.57772307415189</v>
      </c>
      <c r="F48" s="172">
        <v>205.07251543442692</v>
      </c>
      <c r="G48" s="172">
        <v>223.3600896296189</v>
      </c>
      <c r="H48" s="172">
        <v>245.2744995704889</v>
      </c>
      <c r="I48" s="172">
        <v>272.01883478802665</v>
      </c>
      <c r="J48" s="172">
        <v>305.39471963406191</v>
      </c>
      <c r="K48" s="172">
        <v>348.2274083668467</v>
      </c>
    </row>
    <row r="49" ht="12.95" customHeight="1"/>
  </sheetData>
  <mergeCells count="7">
    <mergeCell ref="E40:K40"/>
    <mergeCell ref="C42:C48"/>
    <mergeCell ref="B4:G4"/>
    <mergeCell ref="C27:K29"/>
    <mergeCell ref="E30:K30"/>
    <mergeCell ref="C32:C38"/>
    <mergeCell ref="C39:K39"/>
  </mergeCells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L40"/>
  <sheetViews>
    <sheetView showGridLines="0" zoomScale="93" zoomScaleNormal="210" zoomScaleSheetLayoutView="145" workbookViewId="0"/>
  </sheetViews>
  <sheetFormatPr defaultColWidth="9.42578125" defaultRowHeight="12.6"/>
  <cols>
    <col min="1" max="3" width="2.5703125" customWidth="1"/>
    <col min="4" max="4" width="18.28515625" customWidth="1"/>
    <col min="5" max="5" width="9.85546875" customWidth="1"/>
    <col min="6" max="6" width="9.42578125" customWidth="1"/>
    <col min="7" max="7" width="8.42578125" customWidth="1"/>
    <col min="9" max="9" width="16.42578125" customWidth="1"/>
  </cols>
  <sheetData>
    <row r="1" spans="1:12" s="19" customFormat="1" ht="10.5">
      <c r="A1" s="85" t="s">
        <v>2</v>
      </c>
      <c r="B1" s="85"/>
      <c r="C1" s="86"/>
      <c r="D1" s="86"/>
      <c r="E1" s="86"/>
      <c r="F1" s="86"/>
      <c r="G1" s="86"/>
      <c r="H1" s="86"/>
      <c r="I1" s="86"/>
      <c r="J1" s="86"/>
      <c r="K1" s="86"/>
      <c r="L1" s="86"/>
    </row>
    <row r="3" spans="1:12">
      <c r="C3" s="38"/>
      <c r="D3" s="39"/>
      <c r="E3" s="39"/>
      <c r="F3" s="39"/>
      <c r="G3" s="39"/>
      <c r="H3" s="39"/>
      <c r="I3" s="39"/>
      <c r="J3" s="39"/>
      <c r="K3" s="40"/>
    </row>
    <row r="4" spans="1:12">
      <c r="C4" s="41"/>
      <c r="D4" s="182" t="s">
        <v>75</v>
      </c>
      <c r="E4" s="182"/>
      <c r="F4" s="19"/>
      <c r="G4" s="19"/>
      <c r="H4" s="19"/>
      <c r="I4" s="19"/>
      <c r="J4" s="19"/>
      <c r="K4" s="42"/>
    </row>
    <row r="5" spans="1:12">
      <c r="C5" s="41"/>
      <c r="D5" s="20" t="s">
        <v>76</v>
      </c>
      <c r="E5" s="19"/>
      <c r="K5" s="43"/>
    </row>
    <row r="6" spans="1:12">
      <c r="C6" s="41"/>
      <c r="D6" s="79" t="s">
        <v>77</v>
      </c>
      <c r="E6" s="76">
        <v>0.5</v>
      </c>
      <c r="K6" s="43"/>
    </row>
    <row r="7" spans="1:12">
      <c r="C7" s="41"/>
      <c r="D7" s="79" t="s">
        <v>78</v>
      </c>
      <c r="E7" s="77">
        <f>1-E6</f>
        <v>0.5</v>
      </c>
      <c r="K7" s="43"/>
    </row>
    <row r="8" spans="1:12">
      <c r="C8" s="41"/>
      <c r="D8" s="20" t="s">
        <v>79</v>
      </c>
      <c r="E8" s="36">
        <f>E9+E12*E10</f>
        <v>0.13347858267213639</v>
      </c>
      <c r="K8" s="43"/>
    </row>
    <row r="9" spans="1:12">
      <c r="C9" s="41"/>
      <c r="D9" s="79" t="s">
        <v>80</v>
      </c>
      <c r="E9" s="77">
        <f>E23</f>
        <v>2.4917999999999999E-2</v>
      </c>
      <c r="F9" s="35"/>
      <c r="K9" s="43"/>
    </row>
    <row r="10" spans="1:12">
      <c r="C10" s="41"/>
      <c r="D10" s="79" t="s">
        <v>81</v>
      </c>
      <c r="E10" s="77">
        <f>G35</f>
        <v>6.3859166277727281E-2</v>
      </c>
      <c r="F10" s="35"/>
      <c r="K10" s="43"/>
    </row>
    <row r="11" spans="1:12">
      <c r="C11" s="41"/>
      <c r="D11" s="79" t="s">
        <v>82</v>
      </c>
      <c r="E11" s="78">
        <v>1</v>
      </c>
      <c r="F11" s="35"/>
      <c r="K11" s="43"/>
    </row>
    <row r="12" spans="1:12">
      <c r="C12" s="41"/>
      <c r="D12" s="79" t="s">
        <v>83</v>
      </c>
      <c r="E12" s="1">
        <f>$E$11*(1+(1-E15)*(E7/E6))</f>
        <v>1.7</v>
      </c>
      <c r="F12" s="35"/>
      <c r="K12" s="43"/>
    </row>
    <row r="13" spans="1:12">
      <c r="C13" s="41"/>
      <c r="D13" s="20" t="s">
        <v>84</v>
      </c>
      <c r="E13" s="36">
        <f>(E9+E14)*(1-E15)</f>
        <v>3.6902600000000001E-2</v>
      </c>
      <c r="F13" s="35"/>
      <c r="K13" s="43"/>
    </row>
    <row r="14" spans="1:12">
      <c r="C14" s="41"/>
      <c r="D14" s="79" t="s">
        <v>85</v>
      </c>
      <c r="E14" s="76">
        <v>2.7799999999999998E-2</v>
      </c>
      <c r="F14" s="35"/>
      <c r="G14" s="35"/>
      <c r="J14" s="47"/>
      <c r="K14" s="43"/>
    </row>
    <row r="15" spans="1:12">
      <c r="C15" s="41"/>
      <c r="D15" s="79" t="s">
        <v>86</v>
      </c>
      <c r="E15" s="77">
        <v>0.3</v>
      </c>
      <c r="F15" s="35"/>
      <c r="G15" s="35"/>
      <c r="J15" s="47"/>
      <c r="K15" s="43"/>
    </row>
    <row r="16" spans="1:12">
      <c r="C16" s="41"/>
      <c r="D16" s="180" t="s">
        <v>87</v>
      </c>
      <c r="E16" s="181">
        <f>E6*E8+E7*E13</f>
        <v>8.5190591336068197E-2</v>
      </c>
      <c r="J16" s="37"/>
      <c r="K16" s="43"/>
    </row>
    <row r="17" spans="3:11">
      <c r="C17" s="41"/>
      <c r="D17" s="35"/>
      <c r="E17" s="167"/>
      <c r="K17" s="43"/>
    </row>
    <row r="18" spans="3:11">
      <c r="C18" s="41"/>
      <c r="K18" s="43"/>
    </row>
    <row r="19" spans="3:11">
      <c r="C19" s="44"/>
      <c r="D19" s="45"/>
      <c r="E19" s="45"/>
      <c r="F19" s="45"/>
      <c r="G19" s="45"/>
      <c r="H19" s="45"/>
      <c r="I19" s="45"/>
      <c r="J19" s="45"/>
      <c r="K19" s="46"/>
    </row>
    <row r="21" spans="3:11" ht="15.6">
      <c r="D21" s="93"/>
      <c r="E21" s="93"/>
      <c r="F21" s="93"/>
      <c r="G21" s="93"/>
      <c r="H21" s="93"/>
    </row>
    <row r="22" spans="3:11" ht="15.6">
      <c r="D22" s="105" t="s">
        <v>88</v>
      </c>
      <c r="E22" s="94"/>
      <c r="F22" s="93"/>
      <c r="G22" s="93"/>
      <c r="H22" s="93"/>
    </row>
    <row r="23" spans="3:11" ht="15.6">
      <c r="D23" s="96">
        <v>45289</v>
      </c>
      <c r="E23" s="97">
        <f>2.4918/100</f>
        <v>2.4917999999999999E-2</v>
      </c>
      <c r="F23" s="93"/>
      <c r="G23" s="93"/>
      <c r="H23" s="93"/>
    </row>
    <row r="24" spans="3:11" ht="15.6">
      <c r="D24" s="95" t="s">
        <v>89</v>
      </c>
      <c r="E24" s="98">
        <f>2.05151264896509/100</f>
        <v>2.0515126489650898E-2</v>
      </c>
      <c r="G24" s="93"/>
      <c r="H24" s="93"/>
    </row>
    <row r="25" spans="3:11" ht="15.6">
      <c r="D25" s="95" t="s">
        <v>90</v>
      </c>
      <c r="E25" s="98">
        <f>1.8826/100</f>
        <v>1.8825999999999999E-2</v>
      </c>
      <c r="G25" s="93"/>
      <c r="H25" s="93"/>
    </row>
    <row r="26" spans="3:11" ht="15.6">
      <c r="D26" s="95"/>
      <c r="E26" s="93"/>
      <c r="F26" s="93"/>
      <c r="G26" s="93"/>
      <c r="H26" s="93"/>
    </row>
    <row r="27" spans="3:11" ht="15.6">
      <c r="D27" s="93"/>
      <c r="E27" s="93"/>
      <c r="F27" s="93"/>
      <c r="G27" s="93"/>
      <c r="H27" s="93"/>
    </row>
    <row r="28" spans="3:11" ht="15.6">
      <c r="D28" s="105" t="s">
        <v>91</v>
      </c>
      <c r="E28" s="94"/>
      <c r="F28" s="94"/>
      <c r="G28" s="94"/>
      <c r="H28" s="94"/>
    </row>
    <row r="29" spans="3:11" ht="46.5">
      <c r="D29" s="106" t="s">
        <v>92</v>
      </c>
      <c r="E29" s="108" t="s">
        <v>93</v>
      </c>
      <c r="F29" s="108" t="s">
        <v>94</v>
      </c>
      <c r="G29" s="107" t="s">
        <v>95</v>
      </c>
      <c r="H29" s="107"/>
      <c r="I29" s="95"/>
    </row>
    <row r="30" spans="3:11" ht="15.6">
      <c r="C30" s="95"/>
      <c r="D30" s="95" t="s">
        <v>96</v>
      </c>
      <c r="E30" s="100">
        <f>4600+5500+16024+4272+2260</f>
        <v>32656</v>
      </c>
      <c r="F30" s="101">
        <f>E30/$E$34</f>
        <v>0.80218133582254536</v>
      </c>
      <c r="G30" s="102">
        <v>6.0100000000000001E-2</v>
      </c>
      <c r="H30" s="95"/>
    </row>
    <row r="31" spans="3:11" ht="15.6">
      <c r="C31" s="95"/>
      <c r="D31" s="95" t="s">
        <v>97</v>
      </c>
      <c r="E31" s="100">
        <f>2000+300</f>
        <v>2300</v>
      </c>
      <c r="F31" s="101">
        <f t="shared" ref="F31:F34" si="0">E31/$E$34</f>
        <v>5.649856297133312E-2</v>
      </c>
      <c r="G31" s="102">
        <v>6.2799999999999995E-2</v>
      </c>
      <c r="H31" s="95"/>
      <c r="I31" s="95"/>
    </row>
    <row r="32" spans="3:11" ht="15.6">
      <c r="C32" s="95"/>
      <c r="D32" s="95" t="s">
        <v>98</v>
      </c>
      <c r="E32" s="100">
        <f>2000</f>
        <v>2000</v>
      </c>
      <c r="F32" s="101">
        <f t="shared" si="0"/>
        <v>4.9129185192463586E-2</v>
      </c>
      <c r="G32" s="102">
        <v>7.2900000000000006E-2</v>
      </c>
      <c r="H32" s="95"/>
      <c r="I32" s="95"/>
    </row>
    <row r="33" spans="3:9" ht="15.6">
      <c r="C33" s="95"/>
      <c r="D33" s="95" t="s">
        <v>99</v>
      </c>
      <c r="E33" s="100">
        <f>3753</f>
        <v>3753</v>
      </c>
      <c r="F33" s="101">
        <f t="shared" si="0"/>
        <v>9.219091601365792E-2</v>
      </c>
      <c r="G33" s="102">
        <v>9.2399999999999996E-2</v>
      </c>
      <c r="H33" s="95"/>
      <c r="I33" s="95"/>
    </row>
    <row r="34" spans="3:9" ht="15.6">
      <c r="C34" s="95"/>
      <c r="D34" s="95" t="s">
        <v>100</v>
      </c>
      <c r="E34" s="100">
        <f>SUM(E30:E33)</f>
        <v>40709</v>
      </c>
      <c r="F34" s="101">
        <f t="shared" si="0"/>
        <v>1</v>
      </c>
      <c r="G34" s="103"/>
      <c r="H34" s="95"/>
      <c r="I34" s="95"/>
    </row>
    <row r="35" spans="3:9" ht="15.6">
      <c r="C35" s="95"/>
      <c r="D35" s="95"/>
      <c r="E35" s="95"/>
      <c r="F35" s="99" t="s">
        <v>101</v>
      </c>
      <c r="G35" s="104">
        <f>F30*G30+F31*G31+F32*G32+F33*G33</f>
        <v>6.3859166277727281E-2</v>
      </c>
      <c r="H35" s="95"/>
      <c r="I35" s="95"/>
    </row>
    <row r="36" spans="3:9" ht="15.6">
      <c r="C36" s="95"/>
      <c r="D36" s="95"/>
      <c r="E36" s="95"/>
      <c r="F36" s="95"/>
      <c r="G36" s="95"/>
      <c r="H36" s="95"/>
      <c r="I36" s="95"/>
    </row>
    <row r="37" spans="3:9" ht="15.6">
      <c r="C37" s="95"/>
      <c r="D37" s="95"/>
      <c r="E37" s="95"/>
      <c r="F37" s="95"/>
      <c r="G37" s="95"/>
      <c r="H37" s="95"/>
      <c r="I37" s="95"/>
    </row>
    <row r="38" spans="3:9" ht="15.6">
      <c r="C38" s="95"/>
      <c r="D38" s="95"/>
      <c r="E38" s="95"/>
      <c r="F38" s="95"/>
      <c r="G38" s="95"/>
      <c r="H38" s="95"/>
      <c r="I38" s="95"/>
    </row>
    <row r="39" spans="3:9" ht="15.6">
      <c r="C39" s="95"/>
      <c r="D39" s="95"/>
      <c r="E39" s="95"/>
      <c r="F39" s="95"/>
      <c r="G39" s="95"/>
      <c r="H39" s="95"/>
      <c r="I39" s="95"/>
    </row>
    <row r="40" spans="3:9" ht="15.6">
      <c r="C40" s="95"/>
      <c r="D40" s="95"/>
      <c r="E40" s="95"/>
      <c r="F40" s="95"/>
      <c r="G40" s="95"/>
      <c r="H40" s="95"/>
      <c r="I40" s="9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0000"/>
    <pageSetUpPr fitToPage="1"/>
  </sheetPr>
  <dimension ref="A1:J71"/>
  <sheetViews>
    <sheetView showGridLines="0" zoomScale="103" zoomScaleNormal="210" zoomScaleSheetLayoutView="85" workbookViewId="0">
      <pane ySplit="5" topLeftCell="A46" activePane="bottomLeft" state="frozen"/>
      <selection pane="bottomLeft" activeCell="C18" sqref="C18"/>
      <selection activeCell="H76" sqref="H76"/>
    </sheetView>
  </sheetViews>
  <sheetFormatPr defaultColWidth="9.42578125" defaultRowHeight="9.9499999999999993"/>
  <cols>
    <col min="1" max="1" width="2.42578125" style="24" customWidth="1"/>
    <col min="2" max="2" width="37.42578125" style="18" customWidth="1"/>
    <col min="3" max="9" width="11.42578125" style="24" customWidth="1"/>
    <col min="10" max="16384" width="9.42578125" style="24"/>
  </cols>
  <sheetData>
    <row r="1" spans="1:10" s="19" customFormat="1" ht="10.5">
      <c r="A1" s="85" t="s">
        <v>2</v>
      </c>
      <c r="B1" s="85"/>
      <c r="C1" s="86"/>
      <c r="D1" s="86"/>
      <c r="E1" s="86"/>
      <c r="F1" s="86"/>
      <c r="G1" s="86"/>
      <c r="H1" s="86"/>
      <c r="I1" s="86"/>
    </row>
    <row r="2" spans="1:10">
      <c r="A2" s="68"/>
      <c r="B2" s="49"/>
      <c r="C2" s="68"/>
      <c r="D2" s="16"/>
      <c r="E2" s="68"/>
      <c r="F2" s="68"/>
      <c r="G2" s="68"/>
      <c r="H2" s="68"/>
      <c r="I2" s="68"/>
      <c r="J2" s="68"/>
    </row>
    <row r="3" spans="1:10" s="19" customFormat="1" ht="11.1" thickBot="1">
      <c r="B3" s="81" t="s">
        <v>102</v>
      </c>
      <c r="C3" s="81"/>
      <c r="D3" s="81"/>
      <c r="E3" s="81"/>
      <c r="F3" s="81"/>
      <c r="G3" s="81"/>
      <c r="H3" s="81"/>
      <c r="I3" s="81"/>
    </row>
    <row r="4" spans="1:10" s="25" customFormat="1" ht="12.95" thickBot="1">
      <c r="B4" s="82" t="s">
        <v>6</v>
      </c>
      <c r="C4" s="8" t="s">
        <v>4</v>
      </c>
      <c r="D4" s="15"/>
      <c r="E4" s="15"/>
      <c r="F4" s="197" t="s">
        <v>5</v>
      </c>
      <c r="G4" s="198"/>
      <c r="H4" s="199"/>
      <c r="I4" s="14" t="s">
        <v>51</v>
      </c>
      <c r="J4"/>
    </row>
    <row r="5" spans="1:10" s="19" customFormat="1" ht="10.5">
      <c r="B5" s="81"/>
      <c r="C5" s="9">
        <f>Profit_Loss!H4</f>
        <v>44561</v>
      </c>
      <c r="D5" s="9">
        <f>Profit_Loss!I4</f>
        <v>44926</v>
      </c>
      <c r="E5" s="9">
        <f>Profit_Loss!J4</f>
        <v>45291</v>
      </c>
      <c r="F5" s="10">
        <f>Profit_Loss!K4</f>
        <v>45657</v>
      </c>
      <c r="G5" s="10">
        <f>Profit_Loss!L4</f>
        <v>46022</v>
      </c>
      <c r="H5" s="10">
        <f>Profit_Loss!M4</f>
        <v>46387</v>
      </c>
      <c r="I5" s="11">
        <f>+EDATE(H5,12)</f>
        <v>46752</v>
      </c>
    </row>
    <row r="6" spans="1:10" s="19" customFormat="1" ht="10.5">
      <c r="B6" s="20" t="s">
        <v>103</v>
      </c>
      <c r="C6" s="70">
        <f>Profit_Loss!H5</f>
        <v>294</v>
      </c>
      <c r="D6" s="70">
        <f>Profit_Loss!I5</f>
        <v>297.2</v>
      </c>
      <c r="E6" s="70">
        <f>Profit_Loss!J5</f>
        <v>323.8</v>
      </c>
      <c r="F6" s="70">
        <f>Profit_Loss!K5</f>
        <v>384.2</v>
      </c>
      <c r="G6" s="70">
        <f>Profit_Loss!L5</f>
        <v>397.6</v>
      </c>
      <c r="H6" s="70">
        <f>Profit_Loss!M5</f>
        <v>415.5</v>
      </c>
      <c r="I6" s="12">
        <f>+H6*(1+I7)</f>
        <v>423.81</v>
      </c>
    </row>
    <row r="7" spans="1:10" s="13" customFormat="1">
      <c r="B7" s="48" t="s">
        <v>104</v>
      </c>
      <c r="D7" s="13">
        <f>+D6/C6-1</f>
        <v>1.0884353741496655E-2</v>
      </c>
      <c r="E7" s="13">
        <f>+E6/D6-1</f>
        <v>8.9502018842530395E-2</v>
      </c>
      <c r="F7" s="13">
        <f>+F6/E6-1</f>
        <v>0.18653489808523771</v>
      </c>
      <c r="G7" s="13">
        <f>+G6/F6-1</f>
        <v>3.4877667881311858E-2</v>
      </c>
      <c r="H7" s="13">
        <f>+H6/G6-1</f>
        <v>4.5020120724345913E-2</v>
      </c>
      <c r="I7" s="71">
        <v>0.02</v>
      </c>
      <c r="J7" s="92" t="s">
        <v>105</v>
      </c>
    </row>
    <row r="8" spans="1:10" s="68" customFormat="1">
      <c r="B8" s="49" t="s">
        <v>106</v>
      </c>
      <c r="C8" s="72">
        <f>Profit_Loss!H7</f>
        <v>-132.6</v>
      </c>
      <c r="D8" s="72">
        <f>Profit_Loss!I7</f>
        <v>-129.19999999999999</v>
      </c>
      <c r="E8" s="72">
        <f>Profit_Loss!J7</f>
        <v>-150.69999999999999</v>
      </c>
      <c r="F8" s="72">
        <f>Profit_Loss!K7</f>
        <v>-172.8</v>
      </c>
      <c r="G8" s="72">
        <f>Profit_Loss!L7</f>
        <v>-176.2</v>
      </c>
      <c r="H8" s="72">
        <f>Profit_Loss!M7</f>
        <v>-181.7</v>
      </c>
      <c r="I8" s="12"/>
    </row>
    <row r="9" spans="1:10" s="68" customFormat="1">
      <c r="B9" s="49" t="s">
        <v>12</v>
      </c>
      <c r="C9" s="75">
        <f>Profit_Loss!H8</f>
        <v>-158.5</v>
      </c>
      <c r="D9" s="75">
        <f>Profit_Loss!I8</f>
        <v>-152.80000000000001</v>
      </c>
      <c r="E9" s="75">
        <f>Profit_Loss!J8</f>
        <v>-154.9</v>
      </c>
      <c r="F9" s="75">
        <f>Profit_Loss!K8</f>
        <v>-188.5</v>
      </c>
      <c r="G9" s="75">
        <f>Profit_Loss!L8</f>
        <v>-194</v>
      </c>
      <c r="H9" s="75">
        <f>Profit_Loss!M8</f>
        <v>-200.4</v>
      </c>
      <c r="I9" s="12"/>
    </row>
    <row r="10" spans="1:10" s="68" customFormat="1" ht="10.5">
      <c r="B10" s="20" t="s">
        <v>13</v>
      </c>
      <c r="C10" s="12">
        <f>+C6+C8+C9</f>
        <v>2.9000000000000057</v>
      </c>
      <c r="D10" s="12">
        <f t="shared" ref="D10:H10" si="0">+D6+D8+D9</f>
        <v>15.199999999999989</v>
      </c>
      <c r="E10" s="12">
        <f t="shared" si="0"/>
        <v>18.200000000000017</v>
      </c>
      <c r="F10" s="12">
        <f t="shared" si="0"/>
        <v>22.899999999999977</v>
      </c>
      <c r="G10" s="12">
        <f t="shared" si="0"/>
        <v>27.400000000000034</v>
      </c>
      <c r="H10" s="12">
        <f t="shared" si="0"/>
        <v>33.400000000000006</v>
      </c>
      <c r="I10" s="12">
        <f>+I11*I6</f>
        <v>29.511717179181286</v>
      </c>
    </row>
    <row r="11" spans="1:10" s="68" customFormat="1">
      <c r="B11" s="48" t="s">
        <v>49</v>
      </c>
      <c r="C11" s="13">
        <f>+C10/C6</f>
        <v>9.8639455782313125E-3</v>
      </c>
      <c r="D11" s="13">
        <f t="shared" ref="D11:H11" si="1">+D10/D6</f>
        <v>5.1144010767160124E-2</v>
      </c>
      <c r="E11" s="13">
        <f t="shared" si="1"/>
        <v>5.6207535515750515E-2</v>
      </c>
      <c r="F11" s="13">
        <f t="shared" si="1"/>
        <v>5.9604372722540287E-2</v>
      </c>
      <c r="G11" s="13">
        <f t="shared" si="1"/>
        <v>6.8913480885311948E-2</v>
      </c>
      <c r="H11" s="13">
        <f t="shared" si="1"/>
        <v>8.0385078219013251E-2</v>
      </c>
      <c r="I11" s="71">
        <f>AVERAGE(F11:H11)</f>
        <v>6.9634310608955155E-2</v>
      </c>
      <c r="J11" s="92" t="s">
        <v>107</v>
      </c>
    </row>
    <row r="12" spans="1:10" s="68" customFormat="1">
      <c r="B12" s="49" t="s">
        <v>108</v>
      </c>
      <c r="C12" s="72">
        <f>Profit_Loss!H11</f>
        <v>-6.3</v>
      </c>
      <c r="D12" s="72">
        <f>Profit_Loss!I11</f>
        <v>-6.8</v>
      </c>
      <c r="E12" s="72">
        <f>Profit_Loss!J11</f>
        <v>-7.6</v>
      </c>
      <c r="F12" s="72">
        <f>Profit_Loss!K11</f>
        <v>-7.7</v>
      </c>
      <c r="G12" s="72">
        <f>Profit_Loss!L11</f>
        <v>-7.7</v>
      </c>
      <c r="H12" s="72">
        <f>Profit_Loss!M11</f>
        <v>-7.8</v>
      </c>
      <c r="I12" s="69">
        <f>I13*I6</f>
        <v>-7.9559999999999995</v>
      </c>
    </row>
    <row r="13" spans="1:10" s="13" customFormat="1">
      <c r="B13" s="48" t="s">
        <v>49</v>
      </c>
      <c r="C13" s="13">
        <f>+C12/C6</f>
        <v>-2.1428571428571429E-2</v>
      </c>
      <c r="D13" s="13">
        <f t="shared" ref="D13:H13" si="2">+D12/D6</f>
        <v>-2.2880215343203232E-2</v>
      </c>
      <c r="E13" s="13">
        <f t="shared" si="2"/>
        <v>-2.3471278567016675E-2</v>
      </c>
      <c r="F13" s="13">
        <f t="shared" si="2"/>
        <v>-2.00416449765747E-2</v>
      </c>
      <c r="G13" s="13">
        <f t="shared" si="2"/>
        <v>-1.936619718309859E-2</v>
      </c>
      <c r="H13" s="13">
        <f t="shared" si="2"/>
        <v>-1.8772563176895306E-2</v>
      </c>
      <c r="I13" s="71">
        <f>H13</f>
        <v>-1.8772563176895306E-2</v>
      </c>
    </row>
    <row r="14" spans="1:10" s="19" customFormat="1" ht="10.5">
      <c r="B14" s="20" t="s">
        <v>16</v>
      </c>
      <c r="C14" s="12">
        <f>+C10+C12</f>
        <v>-3.3999999999999941</v>
      </c>
      <c r="D14" s="12">
        <f t="shared" ref="D14:H14" si="3">+D10+D12</f>
        <v>8.3999999999999879</v>
      </c>
      <c r="E14" s="12">
        <f t="shared" si="3"/>
        <v>10.600000000000017</v>
      </c>
      <c r="F14" s="12">
        <f t="shared" si="3"/>
        <v>15.199999999999978</v>
      </c>
      <c r="G14" s="12">
        <f t="shared" si="3"/>
        <v>19.700000000000035</v>
      </c>
      <c r="H14" s="12">
        <f t="shared" si="3"/>
        <v>25.600000000000005</v>
      </c>
      <c r="I14" s="12">
        <f>+I10+I12</f>
        <v>21.555717179181286</v>
      </c>
    </row>
    <row r="15" spans="1:10" s="13" customFormat="1">
      <c r="B15" s="48" t="s">
        <v>49</v>
      </c>
      <c r="C15" s="13">
        <f>+C14/C6</f>
        <v>-1.1564625850340116E-2</v>
      </c>
      <c r="D15" s="13">
        <f t="shared" ref="D15:I15" si="4">+D14/D6</f>
        <v>2.8263795423956892E-2</v>
      </c>
      <c r="E15" s="13">
        <f t="shared" si="4"/>
        <v>3.273625694873384E-2</v>
      </c>
      <c r="F15" s="13">
        <f t="shared" si="4"/>
        <v>3.9562727745965587E-2</v>
      </c>
      <c r="G15" s="13">
        <f t="shared" si="4"/>
        <v>4.9547283702213361E-2</v>
      </c>
      <c r="H15" s="13">
        <f t="shared" si="4"/>
        <v>6.1612515042117941E-2</v>
      </c>
      <c r="I15" s="13">
        <f t="shared" si="4"/>
        <v>5.0861747432059852E-2</v>
      </c>
    </row>
    <row r="16" spans="1:10" s="68" customFormat="1">
      <c r="B16" s="49"/>
    </row>
    <row r="17" spans="2:10" s="68" customFormat="1" ht="10.5">
      <c r="B17" s="91" t="s">
        <v>109</v>
      </c>
      <c r="C17" s="72">
        <f>NWC!H10</f>
        <v>39.400000000000013</v>
      </c>
      <c r="D17" s="72">
        <f>NWC!I10</f>
        <v>26.1</v>
      </c>
      <c r="E17" s="72">
        <f>NWC!J10</f>
        <v>37.299999999999997</v>
      </c>
      <c r="F17" s="72">
        <f>NWC!K10</f>
        <v>42.500000000000007</v>
      </c>
      <c r="G17" s="72">
        <f>NWC!L10</f>
        <v>33.700000000000003</v>
      </c>
      <c r="H17" s="72">
        <f>NWC!M10</f>
        <v>33.299999999999997</v>
      </c>
      <c r="I17" s="69">
        <f>+I19*I6</f>
        <v>33.965999999999994</v>
      </c>
    </row>
    <row r="18" spans="2:10" s="68" customFormat="1">
      <c r="B18" s="49" t="s">
        <v>55</v>
      </c>
      <c r="C18" s="12"/>
      <c r="D18" s="12">
        <f>+C17-D17</f>
        <v>13.300000000000011</v>
      </c>
      <c r="E18" s="12">
        <f t="shared" ref="E18:H18" si="5">+D17-E17</f>
        <v>-11.199999999999996</v>
      </c>
      <c r="F18" s="12">
        <f t="shared" si="5"/>
        <v>-5.2000000000000099</v>
      </c>
      <c r="G18" s="12">
        <f t="shared" si="5"/>
        <v>8.8000000000000043</v>
      </c>
      <c r="H18" s="12">
        <f>+G17-H17</f>
        <v>0.40000000000000568</v>
      </c>
      <c r="I18" s="12">
        <f>+H17-I17</f>
        <v>-0.66599999999999682</v>
      </c>
    </row>
    <row r="19" spans="2:10" s="13" customFormat="1">
      <c r="B19" s="48" t="s">
        <v>49</v>
      </c>
      <c r="C19" s="13">
        <f>C17/C6</f>
        <v>0.13401360544217691</v>
      </c>
      <c r="D19" s="13">
        <f t="shared" ref="D19:H19" si="6">D17/D6</f>
        <v>8.7819650067294766E-2</v>
      </c>
      <c r="E19" s="13">
        <f t="shared" si="6"/>
        <v>0.11519456454601605</v>
      </c>
      <c r="F19" s="13">
        <f t="shared" si="6"/>
        <v>0.11061946902654869</v>
      </c>
      <c r="G19" s="13">
        <f t="shared" si="6"/>
        <v>8.4758551307847083E-2</v>
      </c>
      <c r="H19" s="13">
        <f>H17/H6</f>
        <v>8.0144404332129951E-2</v>
      </c>
      <c r="I19" s="71">
        <f>H19</f>
        <v>8.0144404332129951E-2</v>
      </c>
      <c r="J19" s="92" t="s">
        <v>110</v>
      </c>
    </row>
    <row r="20" spans="2:10" s="68" customFormat="1">
      <c r="B20" s="49"/>
    </row>
    <row r="21" spans="2:10" s="19" customFormat="1" ht="10.5">
      <c r="B21" s="20" t="s">
        <v>54</v>
      </c>
      <c r="C21" s="72"/>
      <c r="D21" s="73">
        <v>-7.1</v>
      </c>
      <c r="E21" s="73">
        <v>-7</v>
      </c>
      <c r="F21" s="73">
        <v>-9</v>
      </c>
      <c r="G21" s="73">
        <v>-8.4</v>
      </c>
      <c r="H21" s="74">
        <v>-8.6</v>
      </c>
      <c r="I21" s="69">
        <f>I6*I22</f>
        <v>-8.7720000000000002</v>
      </c>
      <c r="J21" s="92" t="s">
        <v>111</v>
      </c>
    </row>
    <row r="22" spans="2:10" s="13" customFormat="1">
      <c r="B22" s="48" t="s">
        <v>14</v>
      </c>
      <c r="D22" s="13">
        <f>+D21/D6</f>
        <v>-2.3889636608344547E-2</v>
      </c>
      <c r="E22" s="13">
        <f t="shared" ref="E22:H22" si="7">+E21/E6</f>
        <v>-2.1618282890673253E-2</v>
      </c>
      <c r="F22" s="13">
        <f t="shared" si="7"/>
        <v>-2.342529932326913E-2</v>
      </c>
      <c r="G22" s="13">
        <f t="shared" si="7"/>
        <v>-2.1126760563380281E-2</v>
      </c>
      <c r="H22" s="13">
        <f t="shared" si="7"/>
        <v>-2.0697954271961493E-2</v>
      </c>
      <c r="I22" s="71">
        <f>H22</f>
        <v>-2.0697954271961493E-2</v>
      </c>
      <c r="J22" s="92" t="s">
        <v>110</v>
      </c>
    </row>
    <row r="23" spans="2:10" s="68" customFormat="1">
      <c r="B23" s="49"/>
    </row>
    <row r="24" spans="2:10" s="19" customFormat="1" ht="10.5">
      <c r="B24" s="83" t="s">
        <v>112</v>
      </c>
      <c r="C24" s="84"/>
      <c r="D24" s="84"/>
      <c r="E24" s="84"/>
      <c r="F24" s="84"/>
      <c r="G24" s="84"/>
      <c r="H24" s="84"/>
      <c r="I24" s="84"/>
    </row>
    <row r="25" spans="2:10" s="68" customFormat="1" ht="10.5" thickBot="1">
      <c r="B25" s="49"/>
    </row>
    <row r="26" spans="2:10" s="21" customFormat="1" ht="10.5">
      <c r="B26" s="82" t="s">
        <v>6</v>
      </c>
      <c r="C26" s="9">
        <f>+C5</f>
        <v>44561</v>
      </c>
      <c r="D26" s="9">
        <f t="shared" ref="D26:H26" si="8">+D5</f>
        <v>44926</v>
      </c>
      <c r="E26" s="9">
        <f t="shared" si="8"/>
        <v>45291</v>
      </c>
      <c r="F26" s="10">
        <f t="shared" si="8"/>
        <v>45657</v>
      </c>
      <c r="G26" s="10">
        <f t="shared" si="8"/>
        <v>46022</v>
      </c>
      <c r="H26" s="10">
        <f t="shared" si="8"/>
        <v>46387</v>
      </c>
      <c r="I26" s="11" t="s">
        <v>113</v>
      </c>
    </row>
    <row r="27" spans="2:10" s="68" customFormat="1">
      <c r="B27" s="49"/>
    </row>
    <row r="28" spans="2:10" s="68" customFormat="1" ht="10.5">
      <c r="B28" s="20" t="str">
        <f t="shared" ref="B28:H28" si="9">+B6</f>
        <v>Sales</v>
      </c>
      <c r="C28" s="12">
        <f t="shared" si="9"/>
        <v>294</v>
      </c>
      <c r="D28" s="12">
        <f t="shared" si="9"/>
        <v>297.2</v>
      </c>
      <c r="E28" s="12">
        <f t="shared" si="9"/>
        <v>323.8</v>
      </c>
      <c r="F28" s="12">
        <f t="shared" si="9"/>
        <v>384.2</v>
      </c>
      <c r="G28" s="12">
        <f t="shared" si="9"/>
        <v>397.6</v>
      </c>
      <c r="H28" s="12">
        <f t="shared" si="9"/>
        <v>415.5</v>
      </c>
    </row>
    <row r="29" spans="2:10" s="23" customFormat="1">
      <c r="B29" s="22" t="str">
        <f>+B7</f>
        <v>% growth</v>
      </c>
      <c r="D29" s="23">
        <f>+D7</f>
        <v>1.0884353741496655E-2</v>
      </c>
      <c r="E29" s="23">
        <f>+E7</f>
        <v>8.9502018842530395E-2</v>
      </c>
      <c r="F29" s="23">
        <f>+F7</f>
        <v>0.18653489808523771</v>
      </c>
      <c r="G29" s="23">
        <f>+G7</f>
        <v>3.4877667881311858E-2</v>
      </c>
      <c r="H29" s="23">
        <f>+H7</f>
        <v>4.5020120724345913E-2</v>
      </c>
    </row>
    <row r="30" spans="2:10" s="68" customFormat="1">
      <c r="B30" s="49"/>
    </row>
    <row r="31" spans="2:10" s="68" customFormat="1" ht="10.5">
      <c r="B31" s="20" t="str">
        <f>+B10</f>
        <v>EBITDA</v>
      </c>
      <c r="C31" s="12">
        <f t="shared" ref="C31:H32" si="10">+C10</f>
        <v>2.9000000000000057</v>
      </c>
      <c r="D31" s="12">
        <f t="shared" si="10"/>
        <v>15.199999999999989</v>
      </c>
      <c r="E31" s="12">
        <f t="shared" si="10"/>
        <v>18.200000000000017</v>
      </c>
      <c r="F31" s="12">
        <f t="shared" si="10"/>
        <v>22.899999999999977</v>
      </c>
      <c r="G31" s="12">
        <f t="shared" si="10"/>
        <v>27.400000000000034</v>
      </c>
      <c r="H31" s="12">
        <f t="shared" si="10"/>
        <v>33.400000000000006</v>
      </c>
    </row>
    <row r="32" spans="2:10" s="23" customFormat="1">
      <c r="B32" s="22" t="str">
        <f>+B11</f>
        <v>% of sales</v>
      </c>
      <c r="C32" s="23">
        <f>+C11</f>
        <v>9.8639455782313125E-3</v>
      </c>
      <c r="D32" s="23">
        <f t="shared" si="10"/>
        <v>5.1144010767160124E-2</v>
      </c>
      <c r="E32" s="23">
        <f t="shared" si="10"/>
        <v>5.6207535515750515E-2</v>
      </c>
      <c r="F32" s="23">
        <f t="shared" si="10"/>
        <v>5.9604372722540287E-2</v>
      </c>
      <c r="G32" s="23">
        <f t="shared" si="10"/>
        <v>6.8913480885311948E-2</v>
      </c>
      <c r="H32" s="23">
        <f t="shared" si="10"/>
        <v>8.0385078219013251E-2</v>
      </c>
    </row>
    <row r="33" spans="2:9" s="68" customFormat="1">
      <c r="B33" s="49"/>
    </row>
    <row r="34" spans="2:9" s="68" customFormat="1" ht="10.5">
      <c r="B34" s="20" t="str">
        <f t="shared" ref="B34:H35" si="11">+B12</f>
        <v>D &amp; A</v>
      </c>
      <c r="C34" s="12">
        <f t="shared" si="11"/>
        <v>-6.3</v>
      </c>
      <c r="D34" s="12">
        <f t="shared" si="11"/>
        <v>-6.8</v>
      </c>
      <c r="E34" s="12">
        <f t="shared" si="11"/>
        <v>-7.6</v>
      </c>
      <c r="F34" s="12">
        <f t="shared" si="11"/>
        <v>-7.7</v>
      </c>
      <c r="G34" s="12">
        <f t="shared" si="11"/>
        <v>-7.7</v>
      </c>
      <c r="H34" s="12">
        <f t="shared" si="11"/>
        <v>-7.8</v>
      </c>
      <c r="I34" s="13"/>
    </row>
    <row r="35" spans="2:9" s="23" customFormat="1">
      <c r="B35" s="22" t="str">
        <f>B13</f>
        <v>% of sales</v>
      </c>
      <c r="C35" s="23">
        <f t="shared" si="11"/>
        <v>-2.1428571428571429E-2</v>
      </c>
      <c r="D35" s="23">
        <f t="shared" si="11"/>
        <v>-2.2880215343203232E-2</v>
      </c>
      <c r="E35" s="23">
        <f t="shared" si="11"/>
        <v>-2.3471278567016675E-2</v>
      </c>
      <c r="F35" s="23">
        <f t="shared" si="11"/>
        <v>-2.00416449765747E-2</v>
      </c>
      <c r="G35" s="23">
        <f t="shared" si="11"/>
        <v>-1.936619718309859E-2</v>
      </c>
      <c r="H35" s="23">
        <f t="shared" si="11"/>
        <v>-1.8772563176895306E-2</v>
      </c>
    </row>
    <row r="36" spans="2:9" s="68" customFormat="1">
      <c r="B36" s="49"/>
    </row>
    <row r="37" spans="2:9" s="68" customFormat="1" ht="10.5">
      <c r="B37" s="20" t="str">
        <f t="shared" ref="B37:H38" si="12">+B14</f>
        <v>EBIT</v>
      </c>
      <c r="C37" s="12">
        <f t="shared" si="12"/>
        <v>-3.3999999999999941</v>
      </c>
      <c r="D37" s="12">
        <f t="shared" si="12"/>
        <v>8.3999999999999879</v>
      </c>
      <c r="E37" s="12">
        <f t="shared" si="12"/>
        <v>10.600000000000017</v>
      </c>
      <c r="F37" s="12">
        <f t="shared" si="12"/>
        <v>15.199999999999978</v>
      </c>
      <c r="G37" s="12">
        <f t="shared" si="12"/>
        <v>19.700000000000035</v>
      </c>
      <c r="H37" s="12">
        <f t="shared" si="12"/>
        <v>25.600000000000005</v>
      </c>
    </row>
    <row r="38" spans="2:9" s="23" customFormat="1">
      <c r="B38" s="22" t="str">
        <f t="shared" si="12"/>
        <v>% of sales</v>
      </c>
      <c r="C38" s="23">
        <f t="shared" si="12"/>
        <v>-1.1564625850340116E-2</v>
      </c>
      <c r="D38" s="23">
        <f t="shared" si="12"/>
        <v>2.8263795423956892E-2</v>
      </c>
      <c r="E38" s="23">
        <f t="shared" si="12"/>
        <v>3.273625694873384E-2</v>
      </c>
      <c r="F38" s="23">
        <f t="shared" si="12"/>
        <v>3.9562727745965587E-2</v>
      </c>
      <c r="G38" s="23">
        <f t="shared" si="12"/>
        <v>4.9547283702213361E-2</v>
      </c>
      <c r="H38" s="23">
        <f t="shared" si="12"/>
        <v>6.1612515042117941E-2</v>
      </c>
    </row>
    <row r="39" spans="2:9" s="68" customFormat="1">
      <c r="B39" s="49"/>
    </row>
    <row r="40" spans="2:9" s="68" customFormat="1" ht="10.5">
      <c r="B40" s="20" t="str">
        <f t="shared" ref="B40:H40" si="13">+B17</f>
        <v>Net working capital (NWC)</v>
      </c>
      <c r="C40" s="12">
        <f t="shared" si="13"/>
        <v>39.400000000000013</v>
      </c>
      <c r="D40" s="12">
        <f t="shared" si="13"/>
        <v>26.1</v>
      </c>
      <c r="E40" s="12">
        <f t="shared" si="13"/>
        <v>37.299999999999997</v>
      </c>
      <c r="F40" s="12">
        <f t="shared" si="13"/>
        <v>42.500000000000007</v>
      </c>
      <c r="G40" s="12">
        <f t="shared" si="13"/>
        <v>33.700000000000003</v>
      </c>
      <c r="H40" s="12">
        <f t="shared" si="13"/>
        <v>33.299999999999997</v>
      </c>
    </row>
    <row r="41" spans="2:9" s="23" customFormat="1">
      <c r="B41" s="22" t="str">
        <f>B19</f>
        <v>% of sales</v>
      </c>
      <c r="C41" s="23">
        <f t="shared" ref="C41:H41" si="14">+C19</f>
        <v>0.13401360544217691</v>
      </c>
      <c r="D41" s="23">
        <f t="shared" si="14"/>
        <v>8.7819650067294766E-2</v>
      </c>
      <c r="E41" s="23">
        <f t="shared" si="14"/>
        <v>0.11519456454601605</v>
      </c>
      <c r="F41" s="23">
        <f t="shared" si="14"/>
        <v>0.11061946902654869</v>
      </c>
      <c r="G41" s="23">
        <f t="shared" si="14"/>
        <v>8.4758551307847083E-2</v>
      </c>
      <c r="H41" s="23">
        <f t="shared" si="14"/>
        <v>8.0144404332129951E-2</v>
      </c>
    </row>
    <row r="42" spans="2:9" s="68" customFormat="1">
      <c r="B42" s="49"/>
    </row>
    <row r="43" spans="2:9" s="68" customFormat="1" ht="10.5">
      <c r="B43" s="20" t="str">
        <f>B21</f>
        <v>Capex</v>
      </c>
      <c r="C43" s="12"/>
      <c r="D43" s="12">
        <f t="shared" ref="D43:H44" si="15">D21</f>
        <v>-7.1</v>
      </c>
      <c r="E43" s="12">
        <f t="shared" si="15"/>
        <v>-7</v>
      </c>
      <c r="F43" s="12">
        <f t="shared" si="15"/>
        <v>-9</v>
      </c>
      <c r="G43" s="12">
        <f t="shared" si="15"/>
        <v>-8.4</v>
      </c>
      <c r="H43" s="12">
        <f t="shared" si="15"/>
        <v>-8.6</v>
      </c>
    </row>
    <row r="44" spans="2:9" s="23" customFormat="1">
      <c r="B44" s="22" t="str">
        <f>B22</f>
        <v>% of total output</v>
      </c>
      <c r="D44" s="23">
        <f t="shared" si="15"/>
        <v>-2.3889636608344547E-2</v>
      </c>
      <c r="E44" s="23">
        <f t="shared" si="15"/>
        <v>-2.1618282890673253E-2</v>
      </c>
      <c r="F44" s="23">
        <f t="shared" si="15"/>
        <v>-2.342529932326913E-2</v>
      </c>
      <c r="G44" s="23">
        <f t="shared" si="15"/>
        <v>-2.1126760563380281E-2</v>
      </c>
      <c r="H44" s="23">
        <f t="shared" si="15"/>
        <v>-2.0697954271961493E-2</v>
      </c>
    </row>
    <row r="45" spans="2:9" s="68" customFormat="1">
      <c r="B45" s="49"/>
    </row>
    <row r="46" spans="2:9" s="68" customFormat="1">
      <c r="B46" s="49" t="s">
        <v>66</v>
      </c>
      <c r="C46" s="123">
        <f>WACC!E16</f>
        <v>8.5190591336068197E-2</v>
      </c>
    </row>
    <row r="47" spans="2:9" s="68" customFormat="1">
      <c r="B47" s="49"/>
    </row>
    <row r="48" spans="2:9" s="68" customFormat="1">
      <c r="B48" s="49"/>
    </row>
    <row r="49" spans="2:10" s="68" customFormat="1">
      <c r="B49" s="200" t="s">
        <v>69</v>
      </c>
      <c r="C49" s="200"/>
      <c r="D49" s="200"/>
      <c r="E49" s="200"/>
      <c r="F49" s="200"/>
      <c r="G49" s="200"/>
      <c r="H49" s="200"/>
      <c r="I49" s="200"/>
      <c r="J49" s="200"/>
    </row>
    <row r="50" spans="2:10" s="68" customFormat="1">
      <c r="B50" s="201"/>
      <c r="C50" s="201"/>
      <c r="D50" s="201"/>
      <c r="E50" s="201"/>
      <c r="F50" s="201"/>
      <c r="G50" s="201"/>
      <c r="H50" s="201"/>
      <c r="I50" s="201"/>
      <c r="J50" s="201"/>
    </row>
    <row r="51" spans="2:10" s="68" customFormat="1">
      <c r="B51" s="202"/>
      <c r="C51" s="202"/>
      <c r="D51" s="202"/>
      <c r="E51" s="202"/>
      <c r="F51" s="202"/>
      <c r="G51" s="202"/>
      <c r="H51" s="202"/>
      <c r="I51" s="202"/>
      <c r="J51" s="202"/>
    </row>
    <row r="52" spans="2:10" s="68" customFormat="1" ht="15.6">
      <c r="B52" s="113" t="s">
        <v>70</v>
      </c>
      <c r="C52" s="115" t="s">
        <v>70</v>
      </c>
      <c r="D52" s="203" t="s">
        <v>71</v>
      </c>
      <c r="E52" s="203"/>
      <c r="F52" s="203"/>
      <c r="G52" s="203"/>
      <c r="H52" s="203"/>
      <c r="I52" s="203"/>
      <c r="J52" s="203"/>
    </row>
    <row r="53" spans="2:10" s="68" customFormat="1" ht="15.6">
      <c r="B53" s="114" t="s">
        <v>70</v>
      </c>
      <c r="C53" s="118">
        <f>Cash_Flow!N18</f>
        <v>199.43992578079107</v>
      </c>
      <c r="D53" s="119">
        <f>E53-0.005</f>
        <v>4.9999999999999984E-3</v>
      </c>
      <c r="E53" s="119">
        <f>F53-0.005</f>
        <v>9.9999999999999985E-3</v>
      </c>
      <c r="F53" s="119">
        <f>G53-0.005</f>
        <v>1.4999999999999999E-2</v>
      </c>
      <c r="G53" s="120">
        <v>0.02</v>
      </c>
      <c r="H53" s="119">
        <f>G53+0.005</f>
        <v>2.5000000000000001E-2</v>
      </c>
      <c r="I53" s="119">
        <f>H53+0.005</f>
        <v>3.0000000000000002E-2</v>
      </c>
      <c r="J53" s="119">
        <f>I53+0.005</f>
        <v>3.5000000000000003E-2</v>
      </c>
    </row>
    <row r="54" spans="2:10" s="68" customFormat="1" ht="15.6">
      <c r="B54" s="204" t="s">
        <v>72</v>
      </c>
      <c r="C54" s="121">
        <f>C55-0.005</f>
        <v>5.4599999999999996E-2</v>
      </c>
      <c r="D54" s="116">
        <f t="dataTable" ref="D54:J60" dt2D="1" dtr="1" r1="I7" r2="I11" ca="1"/>
        <v>148.59039861041629</v>
      </c>
      <c r="E54" s="110">
        <v>147.7078449768683</v>
      </c>
      <c r="F54" s="110">
        <v>146.8121954483492</v>
      </c>
      <c r="G54" s="110">
        <v>145.90345002485913</v>
      </c>
      <c r="H54" s="110">
        <v>144.98160870639788</v>
      </c>
      <c r="I54" s="110">
        <v>144.04667149296557</v>
      </c>
      <c r="J54" s="110">
        <v>143.09863838456226</v>
      </c>
    </row>
    <row r="55" spans="2:10" s="68" customFormat="1" ht="15.6">
      <c r="B55" s="204"/>
      <c r="C55" s="121">
        <f>C56-0.005</f>
        <v>5.9599999999999993E-2</v>
      </c>
      <c r="D55" s="116">
        <v>165.89084317702503</v>
      </c>
      <c r="E55" s="110">
        <v>165.17559234179456</v>
      </c>
      <c r="F55" s="110">
        <v>164.44804987827422</v>
      </c>
      <c r="G55" s="110">
        <v>163.70821578646408</v>
      </c>
      <c r="H55" s="110">
        <v>162.95609006636408</v>
      </c>
      <c r="I55" s="110">
        <v>162.19167271797411</v>
      </c>
      <c r="J55" s="110">
        <v>161.41496374129446</v>
      </c>
    </row>
    <row r="56" spans="2:10" s="68" customFormat="1" ht="15.6">
      <c r="B56" s="204"/>
      <c r="C56" s="121">
        <f>C57-0.005</f>
        <v>6.4599999999999991E-2</v>
      </c>
      <c r="D56" s="116">
        <v>183.19128774363372</v>
      </c>
      <c r="E56" s="110">
        <v>182.64333970672084</v>
      </c>
      <c r="F56" s="110">
        <v>182.08390430819929</v>
      </c>
      <c r="G56" s="110">
        <v>181.51298154806906</v>
      </c>
      <c r="H56" s="110">
        <v>180.9305714263302</v>
      </c>
      <c r="I56" s="110">
        <v>180.33667394298269</v>
      </c>
      <c r="J56" s="110">
        <v>179.73128909802659</v>
      </c>
    </row>
    <row r="57" spans="2:10" s="68" customFormat="1" ht="15.6">
      <c r="B57" s="204"/>
      <c r="C57" s="122">
        <v>6.9599999999999995E-2</v>
      </c>
      <c r="D57" s="116">
        <v>200.49173231024253</v>
      </c>
      <c r="E57" s="110">
        <v>200.11108707164715</v>
      </c>
      <c r="F57" s="110">
        <v>199.71975873812431</v>
      </c>
      <c r="G57" s="111">
        <v>199.3177473096741</v>
      </c>
      <c r="H57" s="110">
        <v>198.90505278629641</v>
      </c>
      <c r="I57" s="110">
        <v>198.48167516799126</v>
      </c>
      <c r="J57" s="110">
        <v>198.04761445475867</v>
      </c>
    </row>
    <row r="58" spans="2:10" s="68" customFormat="1" ht="15.6">
      <c r="B58" s="204"/>
      <c r="C58" s="121">
        <f>C57+0.005</f>
        <v>7.46E-2</v>
      </c>
      <c r="D58" s="116">
        <v>217.79217687685124</v>
      </c>
      <c r="E58" s="110">
        <v>217.57883443657346</v>
      </c>
      <c r="F58" s="110">
        <v>217.35561316804936</v>
      </c>
      <c r="G58" s="110">
        <v>217.12251307127923</v>
      </c>
      <c r="H58" s="110">
        <v>216.87953414626264</v>
      </c>
      <c r="I58" s="110">
        <v>216.6266763929998</v>
      </c>
      <c r="J58" s="110">
        <v>216.36393981149087</v>
      </c>
    </row>
    <row r="59" spans="2:10" s="68" customFormat="1" ht="15.6">
      <c r="B59" s="204"/>
      <c r="C59" s="121">
        <f>C58+0.005</f>
        <v>7.9600000000000004E-2</v>
      </c>
      <c r="D59" s="116">
        <v>235.09262144345996</v>
      </c>
      <c r="E59" s="110">
        <v>235.04658180149974</v>
      </c>
      <c r="F59" s="110">
        <v>234.99146759797449</v>
      </c>
      <c r="G59" s="110">
        <v>234.92727883288418</v>
      </c>
      <c r="H59" s="110">
        <v>234.8540155062289</v>
      </c>
      <c r="I59" s="110">
        <v>234.77167761800837</v>
      </c>
      <c r="J59" s="110">
        <v>234.68026516822306</v>
      </c>
    </row>
    <row r="60" spans="2:10" s="17" customFormat="1" ht="15.6">
      <c r="B60" s="205"/>
      <c r="C60" s="121">
        <f>C59+0.005</f>
        <v>8.4600000000000009E-2</v>
      </c>
      <c r="D60" s="117">
        <v>252.39306601006876</v>
      </c>
      <c r="E60" s="112">
        <v>252.51432916642608</v>
      </c>
      <c r="F60" s="112">
        <v>252.62732202789957</v>
      </c>
      <c r="G60" s="112">
        <v>252.73204459448914</v>
      </c>
      <c r="H60" s="112">
        <v>252.82849686619511</v>
      </c>
      <c r="I60" s="112">
        <v>252.916678843017</v>
      </c>
      <c r="J60" s="112">
        <v>252.99659052495531</v>
      </c>
    </row>
    <row r="61" spans="2:10" ht="15.6">
      <c r="B61" s="206" t="s">
        <v>70</v>
      </c>
      <c r="C61" s="206"/>
      <c r="D61" s="206"/>
      <c r="E61" s="206"/>
      <c r="F61" s="206"/>
      <c r="G61" s="206"/>
      <c r="H61" s="206"/>
      <c r="I61" s="206"/>
      <c r="J61" s="206"/>
    </row>
    <row r="62" spans="2:10">
      <c r="B62" s="68"/>
      <c r="C62" s="68"/>
      <c r="D62" s="68"/>
      <c r="E62" s="68"/>
      <c r="F62" s="68"/>
      <c r="G62" s="68"/>
      <c r="H62" s="68"/>
      <c r="I62" s="68"/>
      <c r="J62" s="68"/>
    </row>
    <row r="63" spans="2:10">
      <c r="B63" s="68"/>
      <c r="C63" s="68"/>
      <c r="D63" s="68"/>
      <c r="E63" s="68"/>
      <c r="F63" s="68"/>
      <c r="G63" s="68"/>
      <c r="H63" s="68"/>
      <c r="I63" s="68"/>
      <c r="J63" s="68"/>
    </row>
    <row r="64" spans="2:10">
      <c r="B64" s="68"/>
      <c r="C64" s="68"/>
      <c r="D64" s="68"/>
      <c r="E64" s="68"/>
      <c r="F64" s="68"/>
      <c r="G64" s="68"/>
      <c r="H64" s="68"/>
      <c r="I64" s="68"/>
      <c r="J64" s="68"/>
    </row>
    <row r="65" spans="2:2">
      <c r="B65" s="68"/>
    </row>
    <row r="66" spans="2:2">
      <c r="B66" s="68"/>
    </row>
    <row r="67" spans="2:2">
      <c r="B67" s="68"/>
    </row>
    <row r="68" spans="2:2">
      <c r="B68" s="68"/>
    </row>
    <row r="69" spans="2:2">
      <c r="B69" s="68"/>
    </row>
    <row r="70" spans="2:2">
      <c r="B70" s="68"/>
    </row>
    <row r="71" spans="2:2">
      <c r="B71" s="68"/>
    </row>
  </sheetData>
  <mergeCells count="5">
    <mergeCell ref="F4:H4"/>
    <mergeCell ref="B49:J51"/>
    <mergeCell ref="D52:J52"/>
    <mergeCell ref="B54:B60"/>
    <mergeCell ref="B61:J61"/>
  </mergeCells>
  <phoneticPr fontId="1" type="noConversion"/>
  <pageMargins left="0.35433070866141736" right="0.35433070866141736" top="0.59055118110236227" bottom="0.59055118110236227" header="0.11811023622047245" footer="0.11811023622047245"/>
  <pageSetup paperSize="9" scale="82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C73DBD3CC9EF64ABD2E207B677DF056" ma:contentTypeVersion="4" ma:contentTypeDescription="Ein neues Dokument erstellen." ma:contentTypeScope="" ma:versionID="d01793cc3a94d01d5066bb086480308e">
  <xsd:schema xmlns:xsd="http://www.w3.org/2001/XMLSchema" xmlns:xs="http://www.w3.org/2001/XMLSchema" xmlns:p="http://schemas.microsoft.com/office/2006/metadata/properties" xmlns:ns2="f54636dd-f128-4dc5-b9fa-4d24f4af6543" targetNamespace="http://schemas.microsoft.com/office/2006/metadata/properties" ma:root="true" ma:fieldsID="a674836784e8b33015ba8afad047a966" ns2:_="">
    <xsd:import namespace="f54636dd-f128-4dc5-b9fa-4d24f4af65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4636dd-f128-4dc5-b9fa-4d24f4af65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B65C94-9767-49D6-A08B-9F52DA5B2288}"/>
</file>

<file path=customXml/itemProps2.xml><?xml version="1.0" encoding="utf-8"?>
<ds:datastoreItem xmlns:ds="http://schemas.openxmlformats.org/officeDocument/2006/customXml" ds:itemID="{16E3FFFD-147F-4123-84B6-B9880F233E34}"/>
</file>

<file path=customXml/itemProps3.xml><?xml version="1.0" encoding="utf-8"?>
<ds:datastoreItem xmlns:ds="http://schemas.openxmlformats.org/officeDocument/2006/customXml" ds:itemID="{07A9D60E-38E8-4BE6-9E59-63EAFF21D3DD}"/>
</file>

<file path=docProps/app.xml><?xml version="1.0" encoding="utf-8"?>
<Properties xmlns="http://schemas.openxmlformats.org/officeDocument/2006/extended-properties" xmlns:vt="http://schemas.openxmlformats.org/officeDocument/2006/docPropsVTypes">
  <Template>Book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Schween, Olaf</dc:creator>
  <cp:keywords/>
  <dc:description/>
  <cp:lastModifiedBy>Shao, Yulong</cp:lastModifiedBy>
  <cp:revision/>
  <dcterms:created xsi:type="dcterms:W3CDTF">2013-08-28T16:58:32Z</dcterms:created>
  <dcterms:modified xsi:type="dcterms:W3CDTF">2025-01-25T11:43:39Z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0x010100CC73DBD3CC9EF64ABD2E207B677DF056</vt:lpwstr>
  </property>
</Properties>
</file>